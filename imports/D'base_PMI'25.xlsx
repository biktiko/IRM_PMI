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 defaultThemeVersion="124226"/>
  <xr:revisionPtr revIDLastSave="0" documentId="13_ncr:1_{A4E828D2-3943-4E19-A44F-F23155C55314}" xr6:coauthVersionLast="47" xr6:coauthVersionMax="47" xr10:uidLastSave="{00000000-0000-0000-0000-000000000000}"/>
  <bookViews>
    <workbookView xWindow="-108" yWindow="-108" windowWidth="23256" windowHeight="13896" tabRatio="896" firstSheet="4" activeTab="4" xr2:uid="{00000000-000D-0000-FFFF-FFFF00000000}"/>
  </bookViews>
  <sheets>
    <sheet name="Acerno_Cache_XXXXX" sheetId="8" state="veryHidden" r:id="rId1"/>
    <sheet name="MS սցենարներ" sheetId="17" state="hidden" r:id="rId2"/>
    <sheet name="Grading Weights" sheetId="32" state="hidden" r:id="rId3"/>
    <sheet name="PMI'25 D'base" sheetId="62" state="hidden" r:id="rId4"/>
    <sheet name="Task" sheetId="68" r:id="rId5"/>
    <sheet name="BR1" sheetId="64" r:id="rId6"/>
    <sheet name="BR2" sheetId="65" r:id="rId7"/>
    <sheet name="BR3" sheetId="66" r:id="rId8"/>
    <sheet name="BR4" sheetId="67" r:id="rId9"/>
    <sheet name="YAP-BR 5" sheetId="63" r:id="rId10"/>
    <sheet name="LAS_Brand Retail(1)" sheetId="44" r:id="rId11"/>
    <sheet name="LAS_Brand Retail (2)" sheetId="56" r:id="rId12"/>
    <sheet name="LAS _GT with purchase" sheetId="45" state="hidden" r:id="rId13"/>
    <sheet name="LAU scenario_old device user" sheetId="42" state="hidden" r:id="rId14"/>
    <sheet name="LAS_Brand Retail (3)" sheetId="57" r:id="rId15"/>
    <sheet name="LAS_Brand Retail (4)" sheetId="61" r:id="rId16"/>
    <sheet name="YAP-Brand Retail (5)" sheetId="60" r:id="rId17"/>
    <sheet name="GT&amp; Purchase, CO" sheetId="38" state="hidden" r:id="rId18"/>
    <sheet name="GT,CO, Trade-in,Winback" sheetId="39" state="hidden" r:id="rId19"/>
    <sheet name="1. SE in BR (ARM)" sheetId="26" state="hidden" r:id="rId20"/>
    <sheet name="GT, Coach, Call" sheetId="14" state="hidden" r:id="rId21"/>
    <sheet name="5. ME_lending meeting_long" sheetId="23" state="hidden" r:id="rId22"/>
    <sheet name="Lending, Coach, Call" sheetId="16" state="hidden" r:id="rId23"/>
    <sheet name="Lending, ME, Delivery" sheetId="13" state="hidden" r:id="rId24"/>
    <sheet name="VGT, SA, MC" sheetId="22" state="hidden" r:id="rId25"/>
    <sheet name="7. ME_order meeting_1" sheetId="20" state="hidden" r:id="rId26"/>
    <sheet name="mapping" sheetId="15" state="hidden" r:id="rId27"/>
  </sheets>
  <definedNames>
    <definedName name="_xlnm._FilterDatabase" localSheetId="3" hidden="1">'PMI''25 D''base'!$A$2:$CA$52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44" l="1"/>
  <c r="F3" i="44"/>
  <c r="F4" i="44"/>
  <c r="F5" i="44"/>
  <c r="F7" i="44"/>
  <c r="F8" i="44"/>
  <c r="F10" i="44"/>
  <c r="F11" i="44"/>
  <c r="F12" i="44"/>
  <c r="F13" i="44"/>
  <c r="F14" i="44"/>
  <c r="F15" i="44"/>
  <c r="F16" i="44"/>
  <c r="F17" i="44"/>
  <c r="F18" i="44"/>
  <c r="F19" i="44"/>
  <c r="F20" i="44"/>
  <c r="F21" i="44"/>
  <c r="F22" i="44"/>
  <c r="F24" i="44"/>
  <c r="F25" i="44"/>
  <c r="F26" i="44"/>
  <c r="F27" i="44"/>
  <c r="F28" i="44"/>
  <c r="F30" i="44"/>
  <c r="F31" i="44"/>
  <c r="F33" i="44"/>
  <c r="F12" i="60" l="1"/>
  <c r="F11" i="60"/>
  <c r="F10" i="60"/>
  <c r="F24" i="61"/>
  <c r="F42" i="61"/>
  <c r="F41" i="61"/>
  <c r="F39" i="61"/>
  <c r="F38" i="61"/>
  <c r="F37" i="61"/>
  <c r="F36" i="61"/>
  <c r="F35" i="61"/>
  <c r="F33" i="61"/>
  <c r="F32" i="61"/>
  <c r="F31" i="61"/>
  <c r="F30" i="61"/>
  <c r="F29" i="61"/>
  <c r="F28" i="61"/>
  <c r="F27" i="61"/>
  <c r="F26" i="61"/>
  <c r="F25" i="61"/>
  <c r="F23" i="61"/>
  <c r="F11" i="61"/>
  <c r="F10" i="61"/>
  <c r="F8" i="61"/>
  <c r="F7" i="61"/>
  <c r="F5" i="61"/>
  <c r="F4" i="61"/>
  <c r="F3" i="61"/>
  <c r="F2" i="61"/>
  <c r="F6" i="60"/>
  <c r="F5" i="60"/>
  <c r="F4" i="60"/>
  <c r="F3" i="60"/>
  <c r="F40" i="57"/>
  <c r="F36" i="57"/>
  <c r="F33" i="57"/>
  <c r="F32" i="57"/>
  <c r="F31" i="57"/>
  <c r="F30" i="57"/>
  <c r="F28" i="57"/>
  <c r="F27" i="57"/>
  <c r="F26" i="57"/>
  <c r="F25" i="57"/>
  <c r="F24" i="57"/>
  <c r="F22" i="57"/>
  <c r="F21" i="57"/>
  <c r="F20" i="57"/>
  <c r="F19" i="57"/>
  <c r="F18" i="57"/>
  <c r="F17" i="57"/>
  <c r="F16" i="57"/>
  <c r="F15" i="57"/>
  <c r="F14" i="57"/>
  <c r="F13" i="57"/>
  <c r="F12" i="57"/>
  <c r="F11" i="57"/>
  <c r="F10" i="57"/>
  <c r="F8" i="57"/>
  <c r="F7" i="57"/>
  <c r="F5" i="57"/>
  <c r="F4" i="57"/>
  <c r="F3" i="57"/>
  <c r="F2" i="57"/>
  <c r="F40" i="56"/>
  <c r="F32" i="56"/>
  <c r="F31" i="56"/>
  <c r="F30" i="56"/>
  <c r="F28" i="56"/>
  <c r="F27" i="56"/>
  <c r="F26" i="56"/>
  <c r="F25" i="56"/>
  <c r="F24" i="56"/>
  <c r="F22" i="56"/>
  <c r="F21" i="56"/>
  <c r="F20" i="56"/>
  <c r="F19" i="56"/>
  <c r="F18" i="56"/>
  <c r="F17" i="56"/>
  <c r="F16" i="56"/>
  <c r="F15" i="56"/>
  <c r="F14" i="56"/>
  <c r="F13" i="56"/>
  <c r="F12" i="56"/>
  <c r="F11" i="56"/>
  <c r="F10" i="56"/>
  <c r="F8" i="56"/>
  <c r="F7" i="56"/>
  <c r="F5" i="56"/>
  <c r="F4" i="56"/>
  <c r="F3" i="56"/>
  <c r="F2" i="56"/>
  <c r="F13" i="14" l="1"/>
  <c r="F45" i="22" l="1"/>
  <c r="F38" i="22"/>
  <c r="F33" i="22"/>
  <c r="E53" i="14"/>
  <c r="E44" i="14"/>
  <c r="E38" i="14"/>
  <c r="E8" i="16" l="1"/>
  <c r="E14" i="13" l="1"/>
  <c r="E7" i="13"/>
  <c r="F11" i="22" l="1"/>
  <c r="E16" i="16"/>
  <c r="E8" i="14" l="1"/>
  <c r="E13" i="14"/>
  <c r="D38" i="26" l="1"/>
  <c r="D28" i="26"/>
  <c r="D13" i="26"/>
  <c r="D7" i="26"/>
</calcChain>
</file>

<file path=xl/sharedStrings.xml><?xml version="1.0" encoding="utf-8"?>
<sst xmlns="http://schemas.openxmlformats.org/spreadsheetml/2006/main" count="5415" uniqueCount="999">
  <si>
    <t>Աուդիտի ենթակա սցենարներ</t>
  </si>
  <si>
    <t>SE-ն BR/SIS-ում</t>
  </si>
  <si>
    <t>Սարքի փոխարինում IQOS վաճառակետում</t>
  </si>
  <si>
    <t xml:space="preserve">Քոուչ, առաջին զանգ </t>
  </si>
  <si>
    <t>Քոուչ-ի կողմից փորձնական օգտագործման ծրագրի շրջանակներում կատարված զանգեր</t>
  </si>
  <si>
    <t>Փորձառություն MC-ում</t>
  </si>
  <si>
    <t>Mobile Expert-ի կողմից  փորձնական օգտագործման համար տրամադրում</t>
  </si>
  <si>
    <t xml:space="preserve">Mobile Expert-ի կողմից պատվերի առաքում (ME հոսք առանց քոուչի) </t>
  </si>
  <si>
    <t>Փորձնական օգտագործման սարքի վերադարձ IQOS վաճառակետում</t>
  </si>
  <si>
    <t>Scenarios</t>
  </si>
  <si>
    <t>Weigths</t>
  </si>
  <si>
    <t>GT, SE, BR</t>
  </si>
  <si>
    <t>Lending Return, Omnichannel</t>
  </si>
  <si>
    <t>Այցելություն IQOS վաճառակետ - Brand Retail Visit</t>
  </si>
  <si>
    <t>MS ID</t>
  </si>
  <si>
    <t>Այցելության ամսաթիվը՝</t>
  </si>
  <si>
    <t>Այցելության ժամանակը՝</t>
  </si>
  <si>
    <t>1. Առաջին կոնտակտ վաճառակետ մտնելիս</t>
  </si>
  <si>
    <t>First Contact</t>
  </si>
  <si>
    <r>
      <t xml:space="preserve">Եթե այցելության </t>
    </r>
    <r>
      <rPr>
        <sz val="12"/>
        <rFont val="Calibri"/>
        <family val="2"/>
        <charset val="204"/>
        <scheme val="minor"/>
      </rPr>
      <t>ընթ</t>
    </r>
    <r>
      <rPr>
        <sz val="12"/>
        <color rgb="FF000000"/>
        <rFont val="Calibri"/>
        <family val="2"/>
        <charset val="204"/>
        <scheme val="minor"/>
      </rPr>
      <t>ացքում ​​խանութում հերթ էր գոյացել, արդյո՞ք բոլոր SE-ները ներգրավված էին հերթի մշակման մեջ (կայի՞ն SE- ներ, ովքեր կարող էին օգնել հերթում կանգնած մարդկանց, բայց չէին օգնում):</t>
    </r>
  </si>
  <si>
    <t>Այո</t>
  </si>
  <si>
    <t xml:space="preserve">SE-ն բարեհամբյուր կերպով ողջունել և ներկայացել է Ձեզ։ </t>
  </si>
  <si>
    <t>Ձեր ժամանման պահին խանութը մաքո՞ւր էր։</t>
  </si>
  <si>
    <t>SE-ն կրում էր անվանապիտակ</t>
  </si>
  <si>
    <t>Ինչպե՞ս է Ձեր տարիքը ստուգվել։</t>
  </si>
  <si>
    <t>ID քարտով</t>
  </si>
  <si>
    <t xml:space="preserve">2. Տեղեկություն սարքի եվ ՆՊԱ (Նիկոտին Պարունակող Այլընտրանք) կատեգորիայի մասին </t>
  </si>
  <si>
    <t>SE-ն հետաքրքրվել է, թե հաճախորդն ինչ գիտի IQOS ILUMA-ի մասին։</t>
  </si>
  <si>
    <t>Reduced Risk</t>
  </si>
  <si>
    <t>Առնվազն մեկը</t>
  </si>
  <si>
    <t>Reduced Emissions</t>
  </si>
  <si>
    <t>IQOS ILUMA-ի օգտագործման արդյունքում խեժ չի առաջանում:</t>
  </si>
  <si>
    <t>Convenience</t>
  </si>
  <si>
    <t>Առնվազն երկուսը</t>
  </si>
  <si>
    <t>CO Meter</t>
  </si>
  <si>
    <t>Hygiene and Aesthetic</t>
  </si>
  <si>
    <t xml:space="preserve">IQOS ILUMA-ն զգալիորեն ավելի քիչ հետքեր է թողնում Ձեր ատամների վրա,* քան սիգարետը: </t>
  </si>
  <si>
    <t>IQOS ILUMA-ին անցում կատարած ծխողներն ասում են, որ իրենց շնչառությունն ավելի թարմ է, քան սիգարետ ծխելու ժամանակ:</t>
  </si>
  <si>
    <t>IQOS ILUMA-ին անցում կատարած ծխողներն ասում են, որ իրենց բերանում մնացող զգացողությունն ու համը պակաս տհաճ են, քան սիգարետ ծխելուց հետո:</t>
  </si>
  <si>
    <t>Indoor Air Quality</t>
  </si>
  <si>
    <t>IQOS ILUMA-ն բացասական ազդեցություն չի ունենում փակ տարածքներում օդի որակի վրա։</t>
  </si>
  <si>
    <t xml:space="preserve">IQOS ILUMA-ն երկրորդային ծուխ չի առաջացնում: </t>
  </si>
  <si>
    <t>Taste Satisfaction</t>
  </si>
  <si>
    <t>Product Demonstration</t>
  </si>
  <si>
    <t>SE-ն նշեց առկա բոլոր սարքերի մոդելները  (IQOS ILUMA PRIME, IQOS ILUMA, IQOS ILUMA ONE)</t>
  </si>
  <si>
    <t>SE-ն առաջարկել է դուրս գալ վաճառակետից և փորձարկել սարքը</t>
  </si>
  <si>
    <t>Education</t>
  </si>
  <si>
    <t>SE-ն նշեց, որ IQOS ILUMA-ն համատեղելի է միայն TEREA SMARTCORE սթիքերի հետ։</t>
  </si>
  <si>
    <t>Taste Preferance</t>
  </si>
  <si>
    <t>Handling Objections</t>
  </si>
  <si>
    <t>3.1 Սցենար 1: MS-ը չի ցանկանում սարք գնել</t>
  </si>
  <si>
    <t>FAREWELL</t>
  </si>
  <si>
    <t>SE-ն առաջարկել է օգտվել փորձնական օգտագործման ծրագրից և բացատրել նրա պայմանները (7օրյա օգտագործում, վճարովի ծառայություն՝ 500 ՀՀ դրամ)։</t>
  </si>
  <si>
    <t>SE-ն առաջարկել է ցանկացած հարցի դեպքում կրկին վաճառակետ այցելել կամ զանգահարել IQOS սպասարկման կենտրոն։ (web)</t>
  </si>
  <si>
    <t>3.2 Սցենար 2: MS-ը չի ցանկանում սարք գնել, բայց մասնակցում է փորձնական օգտագործման ծրագրին</t>
  </si>
  <si>
    <t>Փորձնական օգտագործման ծրագրի համար նախատեսված սարքը առկա՞ էր։</t>
  </si>
  <si>
    <t>SE-ն ներկայացրել է ապառիկ վաճառքի և դրա պայմանների մասին։</t>
  </si>
  <si>
    <t xml:space="preserve">Խնդրել է մասնակցել NPS հարցումներին որոնք ստանալու եք Viber-ի կամ SMS-ի միջոցով։ </t>
  </si>
  <si>
    <t>MS-ի ընդհանուր տպավորություններ</t>
  </si>
  <si>
    <t>0-10 սանդղակով, որքանով է հավանական, որ SE-ի ծառայությունները խորհուրդ տաք Ձեր չափահաս ծխող ընկերոջը: Խնդրում ենք մանրամասնել։</t>
  </si>
  <si>
    <t>Ի՞նչ կարելի է անել փորձը բարելավելու համար։</t>
  </si>
  <si>
    <t>Identification</t>
  </si>
  <si>
    <t>SE-ն հարցրե՞լ է Ձեր հեռախոսահամարը և ստուգել Ձեր գրանցման կարգավիճակը։</t>
  </si>
  <si>
    <t>Credit Sales Offer</t>
  </si>
  <si>
    <t>IQOS visit to POS</t>
  </si>
  <si>
    <t>Weight (%)</t>
  </si>
  <si>
    <t>Comments</t>
  </si>
  <si>
    <t>Վայր</t>
  </si>
  <si>
    <t>Այցի օրը</t>
  </si>
  <si>
    <t>Այցի ժամը</t>
  </si>
  <si>
    <t>Վաճառողի / Sales Expert-ի (SE-ի) անունը</t>
  </si>
  <si>
    <t xml:space="preserve">Contact with SE </t>
  </si>
  <si>
    <t>SE-ն ջերմորեն բարևեց, ներկայացավ, ժպտերես եր</t>
  </si>
  <si>
    <t>Yes</t>
  </si>
  <si>
    <t>Ընդհանուր տեսքը (համազգեստը, մազերը, ձեռնոցների և դիմակի առկայություն, անվանանշան)</t>
  </si>
  <si>
    <t>SE-ն սուրճ, թեյ կամ ջուր առաջարկեց</t>
  </si>
  <si>
    <t>Այցի ժամանակ SE-ն համոզվեց, որ հաճախորդը ՉԱՓԱՀԱՍ ԾԽՈՂ Է (18+). Կասկածելու դեպքում SE-ն հաճախորդից պահանջեց անձը հաստատող փաստաթուղթ</t>
  </si>
  <si>
    <t>Product Information</t>
  </si>
  <si>
    <t>SE made inquired what customer knows about IQOS</t>
  </si>
  <si>
    <t>SE asked specific questions, to understand your needs and your interest</t>
  </si>
  <si>
    <t>SE explained that IQOS is electronic system for tobacco heating and that IQOS is not risk free or a safe alternative to cigarettes, but it is a much better choice than smoking.</t>
  </si>
  <si>
    <t>SE explained that IQOS has less lingering smell</t>
  </si>
  <si>
    <t>SE explained that IQOS produces no ash</t>
  </si>
  <si>
    <t>SE explained that IQOS produces aerosol instead of smoke and it has no negative impact on air quality</t>
  </si>
  <si>
    <t>SE explained that aerosol contains 95% less harmful and potentially harmful constituents comparing to cigarette smoke</t>
  </si>
  <si>
    <t>MS says that he/she heard that IQOS is worse than cigarettes</t>
  </si>
  <si>
    <t>SE explained that filter in HEETS is made of organic materials</t>
  </si>
  <si>
    <t>MS asks how to use the device</t>
  </si>
  <si>
    <t>SE explained how to insert and remove HTS from the holder</t>
  </si>
  <si>
    <t>SE explained how to clean the holder</t>
  </si>
  <si>
    <t>SE explained that one session lasts for 6 min or 14 puffs</t>
  </si>
  <si>
    <t>SE made sure that you have understood everything</t>
  </si>
  <si>
    <t>SE answered all your questions and addressed all the objections</t>
  </si>
  <si>
    <t>Service/Program information (OPTION 1)</t>
  </si>
  <si>
    <t>In case MS doeasn't want to buy</t>
  </si>
  <si>
    <t xml:space="preserve">SE offered Lending option </t>
  </si>
  <si>
    <t>SE explained why lending is a good option for the customer (get used to taste and ritual)</t>
  </si>
  <si>
    <t>SE explained the terms of lending program (7days usage - paid service - 500AMD)</t>
  </si>
  <si>
    <t>SE introduce Viber Hyper care linking it with lending program</t>
  </si>
  <si>
    <t>SE informed about Viber Hyper care survey (the chance to win 1500 AMD)</t>
  </si>
  <si>
    <t xml:space="preserve">SE told about Hyper Care program, for customer support </t>
  </si>
  <si>
    <t>SE offered to visit the POS again for any queries</t>
  </si>
  <si>
    <t>Mentioned that "We are waiting for you in the future"</t>
  </si>
  <si>
    <t>Service/Program information (OPTION 2)</t>
  </si>
  <si>
    <t>In case MS buys the device</t>
  </si>
  <si>
    <t>SE informed about Viber bot</t>
  </si>
  <si>
    <t>SE told about Hyper Care program, for customer support (surveys, with a chance to win 1,500 AMD)</t>
  </si>
  <si>
    <t>SE informed about MGM program (refering a friend; friend gets bundle offer; LAU get 2,500 AMD after viber survey)</t>
  </si>
  <si>
    <t>Informed about Care + (1 goodwill replacement per component)</t>
  </si>
  <si>
    <t>SE informed about the ability to place an order via website, where there are infos about our products, support videos, and referral page</t>
  </si>
  <si>
    <t>SE informed about delivey option for further purchases</t>
  </si>
  <si>
    <t>On a scale of 0-10 how likely are you to recommend the services of a SE to your adult smoker friend? Please elaborate</t>
  </si>
  <si>
    <t>IQOS Քոուչ, առաջին զանգ - IQOS Coach, first call</t>
  </si>
  <si>
    <t>Զանգի ամսաթիվը՝</t>
  </si>
  <si>
    <t>Զանգի ժամը՝</t>
  </si>
  <si>
    <t>Քուչի անունը</t>
  </si>
  <si>
    <t>Քուչի հեռախոսահամար</t>
  </si>
  <si>
    <t xml:space="preserve"> </t>
  </si>
  <si>
    <t>1. Առաջին կոնտակտ Քոուչի հետ</t>
  </si>
  <si>
    <t>Ձեր գրանցումից հետո 24 ժամվա ընթացքում Քոուչը կապ է հաստատել ձեզ հետ (Եթե ՈՉ, որքա՞ն եք սպասել զանգին)</t>
  </si>
  <si>
    <t>Քոուչը ջերմորեն ողջունել է ձեզ՝ օգտագործելով Ձեր անունը, ինչպես նաև ներկայացել է</t>
  </si>
  <si>
    <t>Քոուչն ինձ հարցրել է, թե արդյոք չափահաս ծխող եմ, թե ոչ</t>
  </si>
  <si>
    <t>Քոուչը հետաքրքրվել է, թե հաճախորդն ինչ գիտի IQOS-ի մասին։</t>
  </si>
  <si>
    <t>Քոուչը տվել է հարցեր Ձեր կարիքներն ու նախասիրությունները պարզելու համար (այսինքն IQOS-ի ո՞ր առավելություններն են Ձեզ համար ամենակարևորը)</t>
  </si>
  <si>
    <t>Նվազեցված ռիսկ</t>
  </si>
  <si>
    <t xml:space="preserve">Ամբողջովին IQOS-ին անցումը ավելի քիչ վնասակար է, քան ծխել շարունակելը։ </t>
  </si>
  <si>
    <t xml:space="preserve">Ամբողջովին IQOS-ին անցումը ավելի քիչ ռիսկ է ներկյացնում Ձեր առողջությանը, քան ծխել շարունակելը։ </t>
  </si>
  <si>
    <t>IQOS-ն ունի լայնածավալ և արժանահավատ կլինիկական ապացույցներ, որոնք ցույց են տալիս, որ IQOS-ի օգտագործումն ավելի քիչ վտանգ է ներկայացնում Ձեր առողջության համար, քան ծխելը շարունակելը:</t>
  </si>
  <si>
    <t>Category motivation</t>
  </si>
  <si>
    <t>Նիկոտինը ծխելու հետ կապված հիվանդությունների հիմնական պատճառը չէ:</t>
  </si>
  <si>
    <t>Վնասակար նյութերի մակարդակի կրճատում</t>
  </si>
  <si>
    <t>IQOS-ն արտազատում է 95%-ով պակաս վնասակար նյութեր՝ ի համեմատ սիգարետի։</t>
  </si>
  <si>
    <t>IQOS-ի օգտագործման արդյունքում խեժ չի առաջանում:</t>
  </si>
  <si>
    <t>Հարմարավետություն</t>
  </si>
  <si>
    <t>IQOS-ի օգտագործման արդյունքում մոխիր չի առաջանում։</t>
  </si>
  <si>
    <t>IQOS-ի օգտագործման արդյունքում ծուխ չի առաջանում։</t>
  </si>
  <si>
    <t>IQOS-ի օգտագործման արդյունքում առաջացած հոտը մնայուն/կպչուն չէ հագուստին, մազերին, ձեռքերին և այլ մակերեսներին։</t>
  </si>
  <si>
    <t>Հիգիենա և էսթետիկա</t>
  </si>
  <si>
    <t xml:space="preserve">IQOS-ը զգալիորեն ավելի քիչ հետքեր է թողնում Ձեր ատամների վրա,* քան սիգարետը: </t>
  </si>
  <si>
    <t>IQOS-ին անցում կատարած ծխողներն ասում են, որ իրենց շնչառությունն ավելի թարմ է, քան սիգարետ ծխելու ժամանակ:</t>
  </si>
  <si>
    <t>IQOS-ին անցում կատարած ծխողներն ասում են, որ իրենց բերանում մնացող զգացողությունն ու համը պակաս տհաճ են, քան սիգարետ ծխելուց հետո:</t>
  </si>
  <si>
    <t>Փակ տարածքներում օդի որակը</t>
  </si>
  <si>
    <t>IQOS-ի օգտագործման արդյունքում  ծխի փոխարեն աերոզոլ է առաջանում, որը բացասական ազդեցություն չի ունենում օդի որակի վրա։</t>
  </si>
  <si>
    <t>IQOS-ը բացասական ազդեցություն չի ունենում փակ տարածքներում օդի որակի վրա։</t>
  </si>
  <si>
    <t xml:space="preserve">IQOS-ը երկրորդային ծուխ չի առաջացնում: </t>
  </si>
  <si>
    <t>Քոուչը նշեց առկա բոլոր սարքերի մոդելները  (IQOS 3 DUO, lil Solid 2.0)</t>
  </si>
  <si>
    <t>Քոուչը նշեց, IQOS 3 Duo սարքի, առնվազն 2 առավելություն։</t>
  </si>
  <si>
    <t xml:space="preserve">Ելնելով սիգարետի/ համերի Ձեր նախասիրություններից քոուչը խորհուրդ է տվել, թե HEETS-ի որ տարբերակը կարող եք գնել։ </t>
  </si>
  <si>
    <t>Նայել առարկությունների ցուցակում։</t>
  </si>
  <si>
    <t>Քոուչը անդրադարձել է բոլոր առարկություններին:</t>
  </si>
  <si>
    <t>Քոուչը պատասխանել է Ձեր բոլոր հարցերին:</t>
  </si>
  <si>
    <t>Քոուչը համոզվել է, որ Դուք ամեն ինչ հասկացել եք։</t>
  </si>
  <si>
    <t>Քոուչը ներկայացրել է ապառիկ վաճառքի ծրագիրը և պատմել է դրա պայմանների մասին։</t>
  </si>
  <si>
    <t>Քոուչն առաջարկել է օգտվել փորձնական օգտագործման ծրագրից։</t>
  </si>
  <si>
    <t>Քոուչը բացատրել է, թե ինչու է փորձնական օգտագործման ծրագիրը լավագույն ընտրությունը հաճախորդի համար (որպեսզի սովորի համին և հարմարվի նոր րիտուալին)։</t>
  </si>
  <si>
    <t>Քոուչն առաջարկել է ցանկացած հարցի դեպքում զանգահարել իրեն կամ IQOS վաճառակետ այցելել:</t>
  </si>
  <si>
    <t>3.2 Սցենար 2:  MS-ը չի ցանկանում սարք գնել, բայց մասնակցում է փորձնական օգտագործման ծրագրին</t>
  </si>
  <si>
    <t>Քոուչը բացատրել է, փորձնական օգտագործման ծրագրի պայմանները (7օրյա օգտագործում, վճարովի ծառայություն՝ 500 ՀՀ դրամ):</t>
  </si>
  <si>
    <t>Քոուչն առաջարկել է ցանկացած հարցի դեպքում զանգահարել իրեն</t>
  </si>
  <si>
    <t>Քոուչն ասել է, որ հեռախոսազանգերի միջոցով կապի մեջ կլինի ինձ հետ IQOS-ի օգտագործման առաջին շաբաթվա ընթացքում</t>
  </si>
  <si>
    <t>Քոուչը կազմակերպել է մատակարարումը</t>
  </si>
  <si>
    <t>Արդյո՞ք Քոուչը  զգուշացրել է որ Lending ստանալիս հարկավոր է ներկայացնել անձը հաստատող փաստաթուղթ</t>
  </si>
  <si>
    <t>Քոուչը խոսել է ընկերաբար ու քաղաքավարի</t>
  </si>
  <si>
    <t>3.3 Սցենար 3: MS-ը ցանկանում է սարքը գնել</t>
  </si>
  <si>
    <t>MS-ը գնում է IQOS 3 DUO սարքը</t>
  </si>
  <si>
    <t>Տեղեկացրել է myIQOS ծրագրի մասին  (յուրաքանչյուր գրանցված բաղադրիչի համար մեկ ոչ երաշխիքային փոխարինում)</t>
  </si>
  <si>
    <t>Քոուչը տեղեկացրել է Viber բոտի մասին։</t>
  </si>
  <si>
    <t>Քոուչը տեղեկացրել  է վեբ կայքի միջոցով պատվեր տեղադրելու հնարավորության մասին, որտեղ կան մեր ապրանքների մասին տեղեկություններ, աջակցող տեսահոլովակներ և հղման էջեր։</t>
  </si>
  <si>
    <t>0-10 սանդղակով, որքանով է հավանական, որ Քոուչի ծառայությունները խորհուրդ տաք Ձեր չափահաս ծխող ընկերոջը: Խնդրում ենք մանրամասնեք</t>
  </si>
  <si>
    <t>ME Lending</t>
  </si>
  <si>
    <t>Location</t>
  </si>
  <si>
    <t>Date of visit</t>
  </si>
  <si>
    <t>Time of visit</t>
  </si>
  <si>
    <t>Name of Mobile Expert (ME)</t>
  </si>
  <si>
    <t xml:space="preserve">Contact with ME </t>
  </si>
  <si>
    <t>ME greeted warmly / smiling</t>
  </si>
  <si>
    <t>Overall look and tidiness (uniform, nails, hair, badge, masks and gloves)</t>
  </si>
  <si>
    <t>During the visit ME made sure that cutomer is legal age SMOKER (18).  If there are doubts, ME asked ID</t>
  </si>
  <si>
    <t>ME made inquired what customer knows about IQOS</t>
  </si>
  <si>
    <t>ME asked specific questions, to understand your needs and your interest</t>
  </si>
  <si>
    <t>ME explained that IQOS is electronic system for tobacco heating and that IQOS is not risk free or a safe alternative to cigarettes, but it is a much better choice than smoking.</t>
  </si>
  <si>
    <t>ME explained that IQOS has less lingering smell</t>
  </si>
  <si>
    <t>ME explained that IQOS produces no ash</t>
  </si>
  <si>
    <t>ME explained that IQOS produces aerosol instead of smoke and it has no negative impact on air quality</t>
  </si>
  <si>
    <t>ME explained that aerosol contains 95% less harmful and potentially harmful constituents comparing to cigarette smoke</t>
  </si>
  <si>
    <t>ME explained that filter in HEETS is made of organic materials</t>
  </si>
  <si>
    <t>ME explained how to insert and remove HTS from the holder</t>
  </si>
  <si>
    <t>ME explained how to clean the holder</t>
  </si>
  <si>
    <t>ME explained that one session lasts for 6 min or 14 puffs</t>
  </si>
  <si>
    <t>ME made sure that you have understood everything</t>
  </si>
  <si>
    <t>ME answered all your questions and addressed all the objections</t>
  </si>
  <si>
    <t>Was Lending device clean without any tar in holder?</t>
  </si>
  <si>
    <t xml:space="preserve">Service/Program information </t>
  </si>
  <si>
    <t>ME told about Hyper Care program, for customer support</t>
  </si>
  <si>
    <t>ME informed about Viber bot</t>
  </si>
  <si>
    <t>ME informed about MGM program</t>
  </si>
  <si>
    <t>ME informed about MGM survey (the chance to win 2500 AMD)</t>
  </si>
  <si>
    <t>Informed about 5 pack HS delivery</t>
  </si>
  <si>
    <t>Coach explained the terms of lending program (7days usage - paid service - 500AMD)</t>
  </si>
  <si>
    <t>On a scale of 0-10 how likely are you to recommend the services of a ME to your adult smoker friend? Please elaborate</t>
  </si>
  <si>
    <t>Comment</t>
  </si>
  <si>
    <t>IQOS Քոուչ, փորձնական օգտագործում Hyper Care - IQOS Coach, Lending Hyper care</t>
  </si>
  <si>
    <t>Քոուչը փորձնական օգտագործման ծրագրի մեկնարկից 1-2 օր հետո առաջին անգամ կապ է հաստատել ձեզ հետ։</t>
  </si>
  <si>
    <t>Քոուչը փորձնական օգտագործման ծրագրի մեկնարկից 3-5 օր հետո երկրորդ անգամ կապ է հաստատել ձեզ հետ։</t>
  </si>
  <si>
    <t>Արդյո՞ք Քոուչը հետաքրքրվել է, թե ինչպես է ընթանում IQOS/lil սարքի հետ փորձառությունը։</t>
  </si>
  <si>
    <t>Արդյո՞ք Քոուչը հետաքրքրվել է, թե IQOS/lil համատեղում եք սիգարետի հետ թե ոչ։</t>
  </si>
  <si>
    <t xml:space="preserve">Արդյո՞ք Քոուչն առաջարկել է կազմակերպել սարքի հետ վերադարձն ու նոր սարքի առաքումը: </t>
  </si>
  <si>
    <t>Արդյո՞ք Քոուչը Ձեր բոլոր հարցերին պատասխանել է:</t>
  </si>
  <si>
    <t>2. Տեղեկություն սարքի (IQOS/lil) օգտագործման մասին</t>
  </si>
  <si>
    <t>Քոուչը բացատրել է, թե ինչպես կարելի է HEETS-ը / Fiit-ը տեղադրել բռնիչի մեջ և հանել այն։</t>
  </si>
  <si>
    <t>Քոուչը բացատրել է, թե ինչպես է պետք ճիշտ մաքրել սարքը և ինչու է դա կարևոր։</t>
  </si>
  <si>
    <t>Քոուչը բացատրել է, թե ինչպես ճիշտ լիցքավորել սարքը։</t>
  </si>
  <si>
    <t>Քոուչը պատասխանել է Ձեր բոլոր հարցերին և անդրադարձել է բոլոր առարկություններին։</t>
  </si>
  <si>
    <t>0-10 սանդղակով, որքանով է հավանական, որ Sn Քոուչի ծառայությունները խորհուրդ տաք Ձեր չափահաս ծխող ընկերոջը: Խնդրում ենք մանրամասնեք</t>
  </si>
  <si>
    <t xml:space="preserve">ME, Փորձնական օգտագործում - ME, Lending </t>
  </si>
  <si>
    <t>Mobile Expert-ի / առաքիչի անունը՝</t>
  </si>
  <si>
    <t xml:space="preserve">1. Առաջին կոնտակտ ME-ի հետ </t>
  </si>
  <si>
    <t>ME-ը առաքումը կատարել է համաձայնեցված ժամին և վայրում։</t>
  </si>
  <si>
    <t>Ընդհանուր արտաքինն ու մաքրությունը տեղին էր (համազգեստը, եղունգները, մազերը, կրծքանշանը,դիմակներն ու ձեռնոցները):</t>
  </si>
  <si>
    <t>Այցելության ընթացքում ME-ն համոզվել է, որ հաճախորդը չափահաս Է (18):  Կասկածի դեպքում ME-ն կարող է նույնականացման քարտ պահանջել։</t>
  </si>
  <si>
    <t xml:space="preserve">Այն MS-ների դեպքում, որոց տարիքը ակնհայտորեն չի գերացանցում 18ը </t>
  </si>
  <si>
    <t>Հանդիպման ընթացքում ME-ն համոզվել է, որ հաճախորդը ծխող է։</t>
  </si>
  <si>
    <t>2. Սարքի առաքում</t>
  </si>
  <si>
    <t>ME-ն տեղեկացրել է Viber բոտի մասին</t>
  </si>
  <si>
    <t xml:space="preserve">Արդյո՞ք փորձնական օգտագործման ծրագրով տրամադրված սարքը մաքուր էր և բռնիչում կուտակված թութունի մնացորդ չկար։ </t>
  </si>
  <si>
    <t xml:space="preserve">MS-ը մի քանի հարցեր է տալիս IQOS-ի և դրա օգտագործման վերաբերյալ: </t>
  </si>
  <si>
    <t>ME-ն պատասխանել է Ձեր բոլոր հարցերին և անդրադարձել է բոլոր առարկություններին</t>
  </si>
  <si>
    <t>ME-ն համոզվել է, որ դուք ամեն ինչ հասկացել եք։</t>
  </si>
  <si>
    <t>ME-ի ընդհանուր տպավորություններ</t>
  </si>
  <si>
    <t>0-10 սանդղակով, որքանով է հավանական, որ ME-ի ծառայությունները խորհուրդ տաք Ձեր չափահաս ծխող ընկերոջը Խնդրում ենք մանրամասնեք</t>
  </si>
  <si>
    <t>Այցելություն Mobile Centre վաճառակետեր - MC visit</t>
  </si>
  <si>
    <t>Տեղակայման վայրը՝</t>
  </si>
  <si>
    <t>Այցելության ընթացքում վաճառողը համոզվել է, որ հաճախորդը չափահաս Է (18):  Կասկածի դեպքում վաճառողը կարող է նույնականացման քարտ պահանջել</t>
  </si>
  <si>
    <t>Այցելության ընթացքում վաճառողը համոզվել է, որ հաճախորդը Ծխող է։</t>
  </si>
  <si>
    <t>Handbook Topics</t>
  </si>
  <si>
    <t>Redused Risk</t>
  </si>
  <si>
    <t>Առնվազն երեքը</t>
  </si>
  <si>
    <t>Hygiene and aesthetic</t>
  </si>
  <si>
    <t>Վաճառողը նշեց առկա բոլոր սարքերի մոդելները  (IQOS 3 DUO, lil Solid 2.0)</t>
  </si>
  <si>
    <t>Վաճառողը նշեց, IQOS 3 Duo սարքի, առնվազն 2 առավելություն։</t>
  </si>
  <si>
    <t xml:space="preserve">Վաճառողը բացատրել է, թե ինչպես է պետք HEETS-ը ճիշտ տեղադրել բռնիչի մեջ և ինչպես է պետք հանել այն։ </t>
  </si>
  <si>
    <t>Վաճառողը բացատրել է, թե ինչպես է պետք ճիշտ մաքրել սարքը և ինչու է այն կարևոր։</t>
  </si>
  <si>
    <t>Վաճառողը բացատրել է, թե ինչպես ճիշտ լիցքավորել սարքը։</t>
  </si>
  <si>
    <t>Վաճառողը առաջարկել է օգտվել փորձնական օգտագործման ծրագրից։</t>
  </si>
  <si>
    <t>SE-ն բացատրել է, թե ինչու է փորձնական օգտագործման ծրագիրը լավագույն ընտրությունը հաճախորդի համար (որպեսզի սովորի համին և հարմարվի նոր րիտուալին)։</t>
  </si>
  <si>
    <t xml:space="preserve">Վաճառողը առաջարկել է ցանկացած հարցի դեպքում զանգահարել IQOS սպասարկման կենտրոն: </t>
  </si>
  <si>
    <t>Վաճառողը առաջարկել է նայել ուսուցողական տեսահոլովակներ։</t>
  </si>
  <si>
    <t>Վաճառողը առաջարկել է տեսահոլովակների հիման վրա հարցում անցնել։</t>
  </si>
  <si>
    <t>Վաճառողը տեղեկացրել է Viber բոտի մասին։</t>
  </si>
  <si>
    <t xml:space="preserve">Վաճառողը հետագա աջակցության համար IQOS սպասարկման կենտրոնի համար է տրամադրել: </t>
  </si>
  <si>
    <t>Վաճառողը առաջարկել է նայել ուսուցողական տեսահոլովակներ</t>
  </si>
  <si>
    <t xml:space="preserve">Վաճառողը առաջարկել է տեսահոլովակների հիման որա հարցում անցնել </t>
  </si>
  <si>
    <t>Վաճառողը տեղեկացրել է Viber բոտի մասին</t>
  </si>
  <si>
    <t xml:space="preserve">Վաճառողը տեղեկացրել է նաև հաճախորդների աջակցության համար նախատեսված Hyper Care ծրագրի մասին ինչպես նաև Viber հաղորդագրությունների մասին որ ստանալու եք մոտակա շաբաթների ընթացքում։  </t>
  </si>
  <si>
    <t>0-10 սանդղակով, որքանով է հավանական, որ MC-ում SA-ի ծառայությունները խորհուրդ կտաք Ձեր չափահաս ծխող ընկերոջը: Խնդրում ենք մանրամասնեք</t>
  </si>
  <si>
    <t>Mobile Expert visit to LAS</t>
  </si>
  <si>
    <t>Overall look and tidiness (uniform, nails, hair, badge)</t>
  </si>
  <si>
    <t>ME informes about Viber bot</t>
  </si>
  <si>
    <t>ME inform about MGM program</t>
  </si>
  <si>
    <t>Коуч позвонил, и Вы провели аудит (0)</t>
  </si>
  <si>
    <t>No</t>
  </si>
  <si>
    <t>Коуч позвонил, но Вы попросили перезвонить (0)</t>
  </si>
  <si>
    <t>Coach called and I completed the audit</t>
  </si>
  <si>
    <t>Coach called and I asked for a callback</t>
  </si>
  <si>
    <t>Коуч позвонил, но Вы пропустили звонок (0)</t>
  </si>
  <si>
    <t>Coach called and I didn't pick up the phone</t>
  </si>
  <si>
    <t>Coach didn't call</t>
  </si>
  <si>
    <t>Коуч не позвонил (0)</t>
  </si>
  <si>
    <t>Coach called me</t>
  </si>
  <si>
    <t>I called the Coach</t>
  </si>
  <si>
    <t>We did not contact</t>
  </si>
  <si>
    <t>Արդյո՞ք SE-ն ծխախոտի վաճառքի կետի (ստենդի) մոտ էր</t>
  </si>
  <si>
    <t>SE-ի ընդհանուր արտաքինն ու մաքրությունը տեղի՞ն էր։</t>
  </si>
  <si>
    <t xml:space="preserve">Ելնելով Ձեր համային նախասիրություններից SE-ն խորհուրդ է տվել, թե TEREA-ի որ տարբերակը կարող եք գնել։ </t>
  </si>
  <si>
    <t>Անձնական տվյալներ(հեռախոսահամար/անուն)</t>
  </si>
  <si>
    <t>Վերջին ձեռք բերած սարքը</t>
  </si>
  <si>
    <t>Մայիս</t>
  </si>
  <si>
    <t>Այցելության ամիսը՝</t>
  </si>
  <si>
    <t>IQOS ILUMA-ն ապահովում է ավելի հաճելի փորձ՝ ի համեմատ IQOS-ի նախորդ սերունդների հետ։* Շատ սպառողներ համաձայն են, որ IQOS ILUMA-ն ավելի լավ համ է ապահովում, քան IQOS-ի նախորդ սերունդները:** ​</t>
  </si>
  <si>
    <t>Winback to Duo</t>
  </si>
  <si>
    <t>Assessment</t>
  </si>
  <si>
    <t>Գաղտնի այցի սցենար</t>
  </si>
  <si>
    <t>Farewell</t>
  </si>
  <si>
    <t>First Contact/Impression</t>
  </si>
  <si>
    <t>Mystery Shopper</t>
  </si>
  <si>
    <t>Կտրամադրվի առանձին (OOW 36+, Invalid numbers)</t>
  </si>
  <si>
    <t>SE-ն կիսեց ձեր հետ հետևյալ պնդումներից որևէ մեկը։ Ամբողջովին IQOS ILUMA-ին անցումը ավելի քիչ վնասակար է, քան ծխել շարունակելը։ IQOS ILUMA-ի օգտագործումն ավելի քիչ վտանգ է ներկայացնում Ձեր առողջության համար, քան ծխելը շարունակելը:IQOS ILUMA-ի օգտագործումն ավելի քիչ վտանգ է ներկայացնում Ձեր առողջության համար, քան ծխելը շարունակելը:IQOS-ը կլինիկական հետազոտություններ անցած ծխախոտի տաքացման համակարգ է, որը ծխախոտն այրելու փոխարեն տաքացնում է և դուք վայելում եք իրական ծխախոտի համը՝ 95% ավելի քիչ վնասակար քիմիական նյութերով*, ի համեմատ սիգարետների:»</t>
  </si>
  <si>
    <t xml:space="preserve">Trade-in to Iluma                                        GT                                                                    CO                                                      Winback                                                        </t>
  </si>
  <si>
    <t>CO meter</t>
  </si>
  <si>
    <t>SE-ն առաջարկել է ձեզ անցնել CO meter տեստը</t>
  </si>
  <si>
    <t>SE-ն բացատրե՞ց տեստի արդյունքները</t>
  </si>
  <si>
    <t>Տեղեկացրել է երաշխիքային պայմանների մասին և յուրաքանչյուր գրանցված բաղադրիչի համար մեկ ոչ երաշխիքային փոխարինում</t>
  </si>
  <si>
    <t>Արդյո՞ք SE-ն առաջարկեց թարմացնել սարքի ծրագրային ապահովումը:</t>
  </si>
  <si>
    <t>SE-ն նշել է, որ սարքը վերադարձի ենթակա չէ եթե տուփը բացվել է։</t>
  </si>
  <si>
    <t xml:space="preserve">SE-ն պատմել է նաև հաճախորդների աջակցության համար նախատեսված Hyper Care ծրագրի մասին ինչպես նաև Viber հաղորդագրությունների մասին որ ստանալու եք մոտակա շաբաթների ընթացքում։  </t>
  </si>
  <si>
    <t>SE-ն տեղեկացրել է Viber բոտի մասին։</t>
  </si>
  <si>
    <t>SE-ն տեղեկացրել  է վեբ կայքի միջոցով պատվեր տեղադրելու հնարավորության մասին, որտեղ կան մեր ապրանքների մասին տեղեկություններ, աջակցող տեսահոլովակներ և հղման էջեր։</t>
  </si>
  <si>
    <t>SE-ն առաջարկել է ցանկացած հարցի դեպքում կրկին վաճառակետ այցելել կամ զանգահարել IQOS սպասարկման կենտրոն։</t>
  </si>
  <si>
    <t>LAS with Coin, no device</t>
  </si>
  <si>
    <t>Չի տրամադրվում</t>
  </si>
  <si>
    <t>Սպասելիք SE-ից</t>
  </si>
  <si>
    <t>Այցելության ամիսը</t>
  </si>
  <si>
    <t>SE-տեղեկացրել է, որ դուք կարող եք օգտվել Duo Originalsի փոխարինումից</t>
  </si>
  <si>
    <t>Handling objections</t>
  </si>
  <si>
    <t>SE-ն պատասխանել է Ձեր բոլոր հարցերին և առարկություններին</t>
  </si>
  <si>
    <t>SE-ն առաջարկել է ձեզ վերադարձնել ձեր հին՝ լեզվակով սարքը և ձեռք բերել նոր՝ առանց լեզվակի Իլյումա սարքը` հավելավճարով։</t>
  </si>
  <si>
    <t xml:space="preserve">IQOS DUO </t>
  </si>
  <si>
    <t>SE-ն տեղեկացրե՞ց, որ 1 շաբաթ միայն IQOS ILUMA օգտագործելու դեպքում ցուցանիշը բարելավվելու է</t>
  </si>
  <si>
    <t>No device</t>
  </si>
  <si>
    <t xml:space="preserve">Տարբերակ 1․ LAS-ը մոտեցել է վաճառակետ coin-ով և տեղեկացնում է, որ իրեն ուղղորդել են IQOS վաճառակետ։                                                                             Տարբերակ 2. LAS-ը մոտեցել է վաճառակետ coin-ով և տեղեկացնում է, որ իրեն ուղղորդել են IQOS վաճառակետ` գումար ստանալու։                                                   </t>
  </si>
  <si>
    <t>Հաճախորդը shopping results overview</t>
  </si>
  <si>
    <t>SE-ն ներկայացրեց, որ IQOS ILUMA սարքերը չունեն լեզվակ, մաքրման կարիք չունեն` ի տարբերություն նախորդ սերունդների։</t>
  </si>
  <si>
    <t>IQOS ILUMA-ն ավելի քիչ հոտ է առաջացնում օգտագործման ժամանակ՝ IQOS-ի նախորդ սերունդների համեմատ:*</t>
  </si>
  <si>
    <t>GT                                                   CO                                                         Purchase</t>
  </si>
  <si>
    <t>LAU with Coin, OOW 36</t>
  </si>
  <si>
    <t>Սցենար 1: Հաճախորդը ցանկանում է սարքը գնել CO թեսթին մասնակցելուց հետո (ONE)</t>
  </si>
  <si>
    <t>Սցենար 2: Հաճախորդը չի մասնակցում CO կամ GT-ին, սակայն գնում է սարքը (Prime/Mid)</t>
  </si>
  <si>
    <t>Հաճախորդի ընդհանուր տպավորություններ</t>
  </si>
  <si>
    <t>LAU-ն մոտենում է վաճառակետ coin-ով, տեղեկացնում է, որ իրեն ուղղորդել են IQOS վաճառակետ։ Հաճախորդը համատեղում է՝ օգտագործում է սարքը և ծխում է սիգարետ։</t>
  </si>
  <si>
    <t xml:space="preserve">Այցելության ընթացքում SE-ն համոզվել է, որ հաճախորդը չափահաս է (18) </t>
  </si>
  <si>
    <t xml:space="preserve">SE-ն տվել է հարցեր Ձեր կարիքներն ու նախասիրությունները պարզելու համար </t>
  </si>
  <si>
    <t>SE-ն նշեց SMARTCORE ինդուկցիոն համակարգի մասին</t>
  </si>
  <si>
    <t>Նշել է արդյոք որ TEREA սթիքերը տարբերվում են HEETS սթիքերից և որ կարևոր է փորձել բոլոր համերը գտնելու իրենց նախընտրելի համը։</t>
  </si>
  <si>
    <t>Նկարագրել է արդյոք առկա TEREA սթիթերի առկա տեսականին</t>
  </si>
  <si>
    <t>Առաջարկել է անցնել CO մետր թեսթը</t>
  </si>
  <si>
    <t>SE-ն հետաքրքրվել է՝ ինչու՞ եք մերժում առաջարկը</t>
  </si>
  <si>
    <t>SE-ն հետաքրքրվել է ՝ինչու՞ եք մերժում առաջարկը</t>
  </si>
  <si>
    <t>Այցելության ընթացքում SE-ն համոզվել է, որ հաճախորդը ծխում է</t>
  </si>
  <si>
    <t>Նկարագրել է արդյոք առկա TEREA սթիքերի առկա տեսականին</t>
  </si>
  <si>
    <t>SE-ն բացե՞լ է թասքը</t>
  </si>
  <si>
    <t>Lending device</t>
  </si>
  <si>
    <t>SE-ն տեղեկացրել է փորձնական սարքի մասին</t>
  </si>
  <si>
    <t>Նկարագրել է արդյոք  TEREA սթիքերի առկա տեսականին</t>
  </si>
  <si>
    <t>Trade-in to ILUMA</t>
  </si>
  <si>
    <t>Առաջին կոնտակտ վաճառակետ մտնելիս</t>
  </si>
  <si>
    <t>Հաճախորդի նույնականացում</t>
  </si>
  <si>
    <t>Տեղեկություն սարքի եվ ՆՊԱ (Նիկոտին Պարունակող Այլընտրանք) կատեգորիայի մասին։ Առաջարկներ ըստ կատեգորիայի</t>
  </si>
  <si>
    <t>Հին սարքի փոխանակման ծրագիր (Trade-in to Iluma)</t>
  </si>
  <si>
    <t>DUO ORIGINALS փոխարինում (Winback to DUO)</t>
  </si>
  <si>
    <t xml:space="preserve">Ըստ ընթացակարգի SE-ն պետք է՝                                                                                                                                                                                                                                              1. Ստուգի օգտագործողին հեռախոսահամարի միջոցով, տեսնի, որ գրանցված չէ մեր համակարգում                                                                                                                                                                                                                                                  2. Տեղեկացնի, որ գումարը ստանալու համար անհրաժեշտ է անցնել CO մետր թեսթը կամ Ուղղորդված փորձարկում (Guided Trial )                                                                                                                                                                          3. Հաճախորդի համաձայնությունը ստանալուց հետո ներկայացնի IQOS ILUMA-ն և առավելությունները (Guided Trial):                                                                                                                                             4. Առաջարկի անցնել CO թեսթը. Հաճախորդը համաձայնում է։                                                                                    Սցենար 1. Հաճախորդըը ցանկանում է սարքը գնել CO թեսթին մասնակցելուց հետո (IQOS ILUMA ONE)                                                                                                                                     Սցենար 2.  Հաճախորդը չի ցանկանում մասնակցել Ուղղորդված փորձարկում (GT ) կամ CO թեսթին, սակայն գնում է IQOS ILUMA սարք (Mid/Prime)   
5. Բացի Rerouting task-ը` ըստ համապատասխան սցենարի (համեմատել աուդիոձայնագրությունների հետ)                                                                                                                                                                                                                             </t>
  </si>
  <si>
    <t>Ըստ ընթացակարգի SE-ն պետք է`                                                                                                                                                                                                                                              1. Նույնականացնի օգտագործողին հեռախոսահամարի միջոցով, տեսնի, որ DUO-ի օգտագործող է։                                                                                                                                                                                                    2.  Տեղեկացնի, որ գումարը ստանալու համար անհրաժեշտ է անցնել CO մետր թեսթը կամ Ուղղորդված փորձարկում (Guided Trial )                                                                                                                                                                          3. Հաճախորդի համաձայնությունը ստանալուց հետո ներկայացնի IQOS ILUMA-ն և առավելությունները (Guided Trial):                                                                                                                                               4. Առաջարկի անցնել CO թեսթ, սակայն հաճախորդը մերժում է ՝ ասելով որ ցավոք ժամանակ չունի։                                                                                                                                                                                                                                                    5. Որպես վերջին լուծում առաջարկի օգտվել Duo Originals փոխարինումից: Հաճախորդը մերժում է ՝պատճառաբանելով, որ իրեն նոր սարքերն էին հետաքրքիր, սակայն այս պահին չի կարող ձեռք բերել                                                       6. Առաջարկի ապառիկ վաճառք, որը նույնպես կմերժվի՝ ասելով որ կդիտարկի և կմոտենա ավելի ուշ։
7. Բացի Rerouting task՝ ըստ համապատասխան սցենարի (համեմատել աուդիոձայնագրությունների հետ)</t>
  </si>
  <si>
    <t>Credit Sales offer</t>
  </si>
  <si>
    <t>CO մետր</t>
  </si>
  <si>
    <t>SE-ն բացե՞լ է համապատասխան թասքը</t>
  </si>
  <si>
    <t xml:space="preserve">Ամբողջովին IQOS ILUMA-ին անցումը ավելի քիչ վնասակար է, քան ծխել շարունակելը։ </t>
  </si>
  <si>
    <t xml:space="preserve">Ամբողջովին IQOS ILUMA-ին անցումը ավելի քիչ ռիսկ է ներկյացնում Ձեր առողջությանը, քան ծխել շարունակելը։ </t>
  </si>
  <si>
    <t>IQOS ILUMA-ի օգտագործումն ավելի քիչ վտանգ է ներկայացնում Ձեր առողջության համար, քան ծխելը շարունակելը:</t>
  </si>
  <si>
    <t>IQOS-ը կլինիկական հետազոտություններ անցած ծխախոտի տաքացման համակարգ է, որը ծխախոտն այրելու փոխարեն տաքացնում է և դուք վայելում եք իրական ծխախոտի համը՝ 95% ավելի քիչ վնասակար քիմիական նյութերով*, ի համեմատ սիգարետների:»</t>
  </si>
  <si>
    <t xml:space="preserve">CATM ( Reduced Risks) </t>
  </si>
  <si>
    <t>N/A</t>
  </si>
  <si>
    <t xml:space="preserve">2․ Հաճախորդի իդենտիֆիկացիա </t>
  </si>
  <si>
    <t>3. Տեղեկություն սարքի եվ ՆՊԱ (Նիկոտին Պարունակող Այլընտրանք) կատեգորիայի մասին։ Առաջարկներ ըստ կատեգորիայի</t>
  </si>
  <si>
    <t>MS shopping results overview</t>
  </si>
  <si>
    <t>SE-ն առաջարկել է ձեզ անցնել CO meter թեսթը</t>
  </si>
  <si>
    <t>3. Տեղեկություն ILUMA սարքերի վերաբերյալ։ Առաջարկներ ըստ կատեգորիայի</t>
  </si>
  <si>
    <t>SE-ն տվել է ձեզ բաց հարցեր, որպեսզի հասկանա ինչ կարիքներ, նախասիրություններ կամ ցավոտ կետեր  ունեք</t>
  </si>
  <si>
    <t>Առաջարկել է արդյոք փորձել 2+ համ</t>
  </si>
  <si>
    <t>Նշել է, որ TEREA-ի համերին և փորձառությանը ընտելանալու համար հարկավոր է չհամատեղել սիգարետի կամ նախորդ սերնդի սարքի հետ և օգտագործել միայն TEREA նվազագույնը  7 oր</t>
  </si>
  <si>
    <t>SE-ն հետաքրքրվել է ինչու չեք գնում սարքը</t>
  </si>
  <si>
    <t>Արդյոք ներկայացրել է նոր համերն ու կապսուլները և ցույց տվեց ինչպես օգտագործել</t>
  </si>
  <si>
    <t>SE-ն բացատրե՞լ է թեսթի արդյունքները</t>
  </si>
  <si>
    <t>SE-ն տեղեկացրե՞լ է, որ 1 շաբաթ միայն IQOS Iluma օգտագործելու դեպքում ցուցանիշը բարելավվելու է</t>
  </si>
  <si>
    <t>SE-ն առաջարկե՞լ է մասնակցել 7օրյա մարտահրավերին</t>
  </si>
  <si>
    <t xml:space="preserve">Այցելություն IQOS վաճառակետ </t>
  </si>
  <si>
    <t>SE-ն հետաքրքրվել է, թե արդյոք հաճախորդը տեղյակ է, որ վաճառքում առկա են ավելի նոր սերնդի սարքեր ILUMA սարքեր, որոնք հանդիսանում DUO originals-ի հաճորդ սերունդը։</t>
  </si>
  <si>
    <t>Հուշումներ Շոփերին</t>
  </si>
  <si>
    <t>SE-ն հետաքրքրվել է, թե հաճախորդն ինչ գիտի  IQOS սարքերի (ներառյալ IQOS ILUMA սարքերի մասին)</t>
  </si>
  <si>
    <t>SE-ն տվել է ձեզ բաց հարցեր, որպեսզի հասկանա ինչ կարիքներ, նախասիրություններ կամ ցավոտ կետեր  ունի հաճախորդը</t>
  </si>
  <si>
    <t xml:space="preserve">LAS </t>
  </si>
  <si>
    <t>Շոփերի նկարագիր</t>
  </si>
  <si>
    <t>RR/Additional Benefits</t>
  </si>
  <si>
    <t>Taste Presentation</t>
  </si>
  <si>
    <t>SE-ն պատմել է СO մետրի մասին</t>
  </si>
  <si>
    <t>Objections Handling</t>
  </si>
  <si>
    <t>(Բայց ինչպես կարող ենք վստահ լինել, որ սարքն իրոք անվտանգ է  ) SE-ն խոսել է նվազեցված ռիսկերի մասին՞ ՝ ներառելով նաև դիսքլեյմեռը</t>
  </si>
  <si>
    <t xml:space="preserve"> (Շատ եմ լսել, որ չի հագեցնում) Խոսել է ճիշտ ներքաշումների և դադարների մասին</t>
  </si>
  <si>
    <t xml:space="preserve"> (Շատ եմ լսել, որ չի հագեցնում) Խոսել է տարբեր համեր փորձելու և համատեղելու մասին</t>
  </si>
  <si>
    <t>Product Presentation</t>
  </si>
  <si>
    <t>(Թանկ է։ Վստահ չեմ այսքան գումար կուզեի ծախսել սարքի վրա) Առաջարկե՞լ է ապառիկ վաճառք</t>
  </si>
  <si>
    <t xml:space="preserve">(Վախենում եմ, որ չեմ սովորի ռիտուալին և անիմաստ կլինի գնումս ) Առաջարկե՞լ  է Լենդինգի սարք                               </t>
  </si>
  <si>
    <t>Արդյոք խնդրել է ներկայացնել անձը հաստատող փաստաթուղթ</t>
  </si>
  <si>
    <t>Շոփերը ծխող է։19-25 տարեկան։ Ունի իր հետ անձը հաստատող փաստաթուղթ։ Հետաքրքրված է պրոդուկտով։ Չի օգտագործում այնպիսի բառեր/բառակապակցություններ, ինչպիսիք են ինդուկցիոն համակարգ, տաքացում, այրում և նկանատիպ "տեխնիկական"բառեր։</t>
  </si>
  <si>
    <t>SE-առաջարկե՞լ է գնել սարքը</t>
  </si>
  <si>
    <t>SE-ն պատասխանել է բոլոր առարկություններին</t>
  </si>
  <si>
    <t xml:space="preserve">SE-ն պատմել է նաև հաճախորդների աջակցության համար նախատեսված Hyper Care ծրագրի մասին ինչպես նաև հաղորդագրությունների մասին որ ստանալու եք մոտակա շաբաթների ընթացքում։  </t>
  </si>
  <si>
    <t>SE-ն տեղեկացրել է, որ աջակցության շրջանակում զանգերի ընթացքում հարցմանը մասնակցելով կստանաք հավելյալ 6 ամիս երաշխիք</t>
  </si>
  <si>
    <t>SE-ն տեղեկացրել է Տելեգրամի մասին և առաջարկել ակտիվացնել գրանցումը</t>
  </si>
  <si>
    <t>LAU who uses DUO Originals</t>
  </si>
  <si>
    <t>Շոփերը ծխող է։25-35 տարեկան։ Ունի իր հետ անձը հաստատող փաստաթուղթ։ Հետաքրքրված է պրոդուկտով։ Չի օգտագործում այնպիսի բառեր/բառակապակցություններ, ինչպիսիք են ինդուկցիոն համակարգ, տաքացում, այրում և նկանատիպ "տեխնիկական"բառեր։</t>
  </si>
  <si>
    <t>IQOS old device user. Not registered in Monolith</t>
  </si>
  <si>
    <t>Additional Benefits (RR)</t>
  </si>
  <si>
    <t>SE-ն պատմել է ձեզ  CO meter-ի մասին</t>
  </si>
  <si>
    <t>SE-ն բացե՞լ է CՕ task-ը</t>
  </si>
  <si>
    <t>Մինչ խոսակցությունը սկսելը հարցրե՞լ է արդյոք հանդիսանում եք Չափահաս Ծխող</t>
  </si>
  <si>
    <t>Սեպտեմբեր</t>
  </si>
  <si>
    <t xml:space="preserve">LAS-ը, ով տեսել է IIQOS DUO ORIGINALS սարքը իր ընկերոջ մոտ և հետաքրքրված է վերջին նորություններով և սարքերով, մոտենում է վաճառակետ։ Համաձայնվում է մասնակցել GT/CO -ին։ Արտադրանքի գնման նկատմամբ ցույց է տալիս  ակտիվ հետաքրքրվածություն, բայց թեթևակի անվստահություն միևնույն ժամանակ։ Երբ վաճառողը հարցնում է ինչու վստահ չէ, անվստահություն արտահայտի հետևյալ կերպ՝   
1. Բայց ինչպես կարող ենք վստահ լինել, որ սարքն իրոք անվտանգ է   
2. Թանկ է։ Վստահ չեմ այսքան գումար կուզեի ծախսել սարքի վրա։ 
 3. Շատ եմ լսել, որ չի հագեցնում  
4. Վախենում եմ, որ չեմ սովորի ռիտուալին և անիմաստ կլինի գնումս                                                                                                                               </t>
  </si>
  <si>
    <r>
      <t xml:space="preserve">Ըստ ընթացակարգի SE-ն պետք է ` 
 1. Իրականացնի հաճախորդի իդենտիֆիկացիա և համոզվի, որ հաճախորդը չափահաս է և ծխող է։
2. Հաճախորդի կարիքների բացահայտումից հետո՝ ներկայացնի IQOS ILUMA-ն և առավելությունները 
 3. Պատմի CO թեսթի մասին,7oրյա առաջարկի մասին և առաջարկի անցնել։  </t>
    </r>
    <r>
      <rPr>
        <b/>
        <sz val="12"/>
        <color rgb="FFFF0000"/>
        <rFont val="Calibri"/>
        <family val="2"/>
        <scheme val="minor"/>
      </rPr>
      <t xml:space="preserve">4.Առաջարկի փորձել սարքը                </t>
    </r>
    <r>
      <rPr>
        <sz val="12"/>
        <color rgb="FFFF0000"/>
        <rFont val="Calibri"/>
        <family val="2"/>
        <scheme val="minor"/>
      </rPr>
      <t xml:space="preserve">                 </t>
    </r>
    <r>
      <rPr>
        <sz val="12"/>
        <color theme="1"/>
        <rFont val="Calibri"/>
        <family val="2"/>
        <scheme val="minor"/>
      </rPr>
      <t xml:space="preserve">                                                 5.Պատմի համերի պորտֆոլ
իոյի մասին, առաջարկի փորձել համերը՝ ելնելով հաճախորդի նախընտրություններից։  
6.Առաջարկի գնել սարքը։ 
7. Առաջարկի Сredit Sales &amp; Lending, քանի որ հաճախորդը վստահ չէ գնման մեջ։
8. Ձևակերպի պատվերը և տրամադրի անհրաժեշտ ինֆորմացիան
</t>
    </r>
  </si>
  <si>
    <r>
      <rPr>
        <sz val="12"/>
        <color theme="1"/>
        <rFont val="Calibri"/>
        <family val="2"/>
        <scheme val="minor"/>
      </rPr>
      <t xml:space="preserve">Ըստ ընթացակարգի SE-ն պետք է 
1․Իրականացնի հաճախորդի իդենտիֆիկացիա և և համոզվի, որ հաճախորդը չափահաս է և ծխող է։                                                                                                                     2․ Առաջարկի գրանցել Մոնոլիտում   
3․ Հաճախորդի կարիքների բացահայտումից հետո՝ ներկայացնի IQOS ILUMA-ն և առավելությունները, </t>
    </r>
    <r>
      <rPr>
        <sz val="12"/>
        <color rgb="FFFF0000"/>
        <rFont val="Calibri"/>
        <family val="2"/>
        <scheme val="minor"/>
      </rPr>
      <t xml:space="preserve">առաջարկի փորձարկում դրսում (Guided Trial)  
</t>
    </r>
    <r>
      <rPr>
        <sz val="12"/>
        <color theme="1"/>
        <rFont val="Calibri"/>
        <family val="2"/>
        <scheme val="minor"/>
      </rPr>
      <t xml:space="preserve">4.Պատմի CO թեսթի մասին,7oրյա առաջարկի մասին և առաջարկի անցնել։ 
5.Պատմի համերի պորտֆոլիոյի մասին, առաջարկի փորձել համերը՝ ելնելով հաճախորդի նախընտրություններից։     </t>
    </r>
    <r>
      <rPr>
        <sz val="12"/>
        <color theme="9" tint="-0.499984740745262"/>
        <rFont val="Calibri"/>
        <family val="2"/>
        <scheme val="minor"/>
      </rPr>
      <t xml:space="preserve">    
6.</t>
    </r>
    <r>
      <rPr>
        <sz val="12"/>
        <color theme="1"/>
        <rFont val="Calibri"/>
        <family val="2"/>
        <scheme val="minor"/>
      </rPr>
      <t xml:space="preserve"> Առաջարկի գնել Փրայմ սարքը                                                                                           8.Քանի որ հաճախորդը դժգոհում է թանկությունից՝ առաջարկի Credit Sales  
9 Տեղեկացնի գրանցման փաթեթի առավելությունների մասին, ներառյալ Երաշխիքային և ֆիզիկական վնասնեի ծածկույթը, տելեգրամ գրանցման հնարավորոթյան մասին, ներառյալ սելֆ դիագնոստիկայի հնարավորությունը
</t>
    </r>
  </si>
  <si>
    <t xml:space="preserve"> (Միշտ համատեղել եմ, քանի որ չի հագեցրել) Խոսել է տարբեր համեր փորձելու և համատեղելու մասին, Խոսել է ճիշտ ներքաշումների և դադարների մասին, 14 oր չհամատեղելու մասին</t>
  </si>
  <si>
    <t>Registration Package presentation</t>
  </si>
  <si>
    <t>SE-ն առաջարկել է ձեզ գրանցել սարքը համակարգում</t>
  </si>
  <si>
    <t>LAU-ն մոտենում է վաճառակետ իր Դուո սարքով, կարծես թե ուղղակի մոտակայքով անցնելիս։ Խոսակցության ընթացքում տեղեկացնում է, որ համատեղում է սարքի օգտագործումը սիգարետի հետ: SE-ի առաջարկին գրանցել սարքը համակարգում, հետաքրքրվում է դա ինչ կտա իրեն։ Պատասխանից հետո ասում է մեկ ուրիշ անգամ կմոտենա։  Ցույց է տալիս հետաքրքրվածություն  ILUMAների մասին։  Անցնում է GT/and CO test , եթե առաջարկվում է։Տեղեկացնում է, որ իրեն ավելի շատ Փրայմ տեսակը հետաքրքրեց։ Եթե վաճառքի խորհրդատուն առաջարկում է գնել սարքը, հետաքրքրվում է՝ ինչ արժե սարքը։ Իմանալով սարքի գինը՝ ասում է, որ թանկ է գինը ։ Այն դեպքում , եթե առաջարկվում է  Credit Sales՝ պատասխանում է որ կմտածի, կմոտենա։</t>
  </si>
  <si>
    <t>SE-ն հետաքրքրվել է, թե հաճախորդն ինչ գիտի  IQOS սարքերի (ներառյալ IQOS ILUMA կամ IQOS ILUMA I սարքերի մասին)</t>
  </si>
  <si>
    <t>SE-ն տվել է ձեզ հարցեր, որպեսզի հասկանա ինչ կարիքներ, նախասիրություններ կամ ցավոտ կետեր  ունեք։</t>
  </si>
  <si>
    <t xml:space="preserve">SE-ն կիսվել է ձեզ հետ գոնե որևէ մի CATM հաղորդագրությամբ </t>
  </si>
  <si>
    <t>SE-ն նշեց առկա բոլոր սարքերի մոդելները  (IQOS ILUMA (i)PRIME, IQOS ILUMA (i), IQOS ILUMA (i) ONE )</t>
  </si>
  <si>
    <t>SE-Ն տեղեկացրել է ,որ մեր պնդումները հիմնված են ՖՄԻ կողմից կատարված բազմաթիվ հետազատությունների վրա</t>
  </si>
  <si>
    <t>SE-ն տեղեկացրել է ր որ ՍԻԳԱՐԵՏՆԵՐՆ ԱՌԱՋԱՑՆՈՒՄ ԵՆ ԽԵԺ  -  IQOS ILUMA-Ն` ՈՉ։ Այն առաջացնում է աերոզոլի մնացորդ, որն էապես տարբերվում է խեժից և բաղկացած է զգալիորեն ցածր մակարդակի վնասակար քիմիական նյութերից</t>
  </si>
  <si>
    <t>SE-ն տեղեկացրել է, որ սիգարետները շրջապատի մարդկանց ենթարկում են ծխի ազդեցությանը, իսկ IQOS ILUMA-ն՝ ոչ։
IQOS ILUMA-ն ծուխ կամ երկրորդային ծուխ չի արտադրում:</t>
  </si>
  <si>
    <t>SE-ն տեղեկացրել է, որ ամենադիմացկուն սարքերն են</t>
  </si>
  <si>
    <t>SE-ն առաջարկել է օգտվել Сredit Sales-Ից</t>
  </si>
  <si>
    <t>Ոչ</t>
  </si>
  <si>
    <t xml:space="preserve">Տեղեկացրել է, որ PMI-ի անծուխ արտադրանքները նախատեսված են այն չափահասների համար, ովքեր հակառակ դեպքում կշարունակեին ծխել կամ օգտագործել այլ նիկոտինային արտադրանք։ </t>
  </si>
  <si>
    <t>Առաջարկել է հարցերի դեպքում զանգահարել զանգերի կենտրոն։</t>
  </si>
  <si>
    <t>SE-ն բարեհամբյուր կերպով հաջողություն է մաղթել և ավարտել խոսակցությունը։</t>
  </si>
  <si>
    <t>4. Farewell</t>
  </si>
  <si>
    <t>3. Աշխատանք առարկությունների հետ։</t>
  </si>
  <si>
    <t xml:space="preserve">SE-ն հարցրել է ձեր  համային նախասիրությունները և հիմնվելով դրա վրա խորհուրդ է տվել, թե TEREA-ի որ տարբերակը կարող եք գնել։ </t>
  </si>
  <si>
    <t>Նկարագրել է արդյոք TEREA սթիքերի առկա տեսականին</t>
  </si>
  <si>
    <t>SE-ն տեղեկացրել է, որն ILUMA-ն ապահովում է իրական ծխախոտի համ և հագեցվածություն` սպառողներին տրամադրելով այլ առավելություններ ևս, որպեսզի այն դրականորեն տարբերակվի սիգարետներից։</t>
  </si>
  <si>
    <t>SE-ն հետաքրքրվել է ինչ համ եք փորձել։</t>
  </si>
  <si>
    <t>SE-ն խորհուրդ է տվել համատեղել մի քանի համ, ավելի լավ հագեցվածության համար։</t>
  </si>
  <si>
    <t>SE-ն պատասխանել է առարկություններին ներքևում բերված որևէ պնդմամբ։</t>
  </si>
  <si>
    <t>SE-ն տեղելացրել է, որ IQOS ILUMA-ն արտազատում է 95%-ով քիչ վնասակար քիմիական նյութեր` ի տարբերություն սիգարետների:</t>
  </si>
  <si>
    <t xml:space="preserve">SE-ն տեղեկացրել է ,որ ամբողջովին IQOS ILUMA-ին անցում կատարելն ավելի քիչ ռիսկեր է ներկայացնում Ձեր առողջության համար, քան ծխելը շարունակելը։* </t>
  </si>
  <si>
    <t>SE-ն տեղեկացրել է, որ Սիգարետներն այրում են ծխախոտը, ինչի արդյունքում արտադրվում է մեծ քանակությամբ ածխածնի մոնօքսիդ: IQOS ILUMA-ն չի այրում ծխախոտը` արտադրելով միջինում 98% ավելի քիչ ածխածնի մոնօքսիդ (CO), ինչպես նաև այլ վնասակար քիմիական նյութերի զգալիորեն ավելի ցածր մակարդակ` ի տարբերություն սիգարետների:</t>
  </si>
  <si>
    <t>SE-ն հետաքրքրվել է, թե հաճախորդն ինչ գիտի  IQOS սարքերի (ներառյալ IQOS ILUMA կամ IQOS ILUMA i սարքերի մասին)</t>
  </si>
  <si>
    <t>SE-ն նշել է առկա բոլոր սարքերի մոդելները  (IQOS ILUMA (i)PRIME, IQOS ILUMA (i), IQOS ILUMA (i) ONE )</t>
  </si>
  <si>
    <t>SE-ն խոսել է սարքերի մասին՝ պահպանելով հիերարխիան  (IQOS ILUMA (i)PRIME, IQOS ILUMA (i), IQOS ILUMA (i) ONE )</t>
  </si>
  <si>
    <t>SE-ն նշել է՝ ինչ ֆունկցիաներ ունեն սարքերը</t>
  </si>
  <si>
    <t>SE-ն նշել է SMARTCORE ինդուկցիոն համակարգի մասին</t>
  </si>
  <si>
    <t>SE-ն ներկայացրել է, որ IQOS ILUMA սարքերը չունեն լեզվակ, մաքրման կարիք չունեն</t>
  </si>
  <si>
    <t>SE-ն նշել է, որ IQOS ILUMA-ն համատեղելի է միայն TEREA SMARTCORE սթիքերի հետ։</t>
  </si>
  <si>
    <t>SE-ն բացատրել է թեսթի արդյունքները</t>
  </si>
  <si>
    <t>SE-ն առաջարկել է մասնակցել 7օրյա մարտահրավերին</t>
  </si>
  <si>
    <t>SE-առաջարկել է գնել սարքը</t>
  </si>
  <si>
    <t>SE-ն տեղեկացրել է, որ IQOS ILUMA-ն արտազատում է 95%-ով քիչ վնասակար քիմիական նյութեր` ի տարբերություն սիգարետների:</t>
  </si>
  <si>
    <t>SE-ն նշել է, ինչ ֆունկցիաներ ունեն սարքերը</t>
  </si>
  <si>
    <t>Ներկայացրել է նոր համերն ու կապսուլները և ցույց տվեց ինչպես օգտագործել</t>
  </si>
  <si>
    <t>SE-ն տեղեկացրել է, որ ILUMA սարքերը մեր պրեմիում սարքերն են, դրանով է պայմանավորված բարձր գինը։</t>
  </si>
  <si>
    <t>Տեղեկացրել է, որ ամբողջովին IQOS ILUMA-ին անցում կատարելն ավելի քիչ ռիսկեր է ներկայացնում առողջության համար, քան ծխելը շարունակելը։</t>
  </si>
  <si>
    <t>SE-ն տեղեկացրել է, որ սիգարետներն այրում են ծխախոտը, ինչի արդյունքում արտադրվում է մեծ քանակությամբ ածխածնի մոնօքսիդ: IQOS ILUMA-ն չի այրում ծխախոտը։</t>
  </si>
  <si>
    <t>SE-ն տեղեկացրել է ,որ մեր պնդումները հիմնված են ՖՄԻ կողմից կատարված բազմաթիվ հետազատությունների վրա</t>
  </si>
  <si>
    <t>SE-ն խորհուրդ է տվել ադապտացիայի շրջանում օգտագործել միայն սարքը, առնվազն 2 շաբաթ, որպեսզի ընտելանան IQOS-ի փորձին</t>
  </si>
  <si>
    <t>SE-ն խորհուրդ է տվել փորձել 1-ից ավել համ՝ գտնելու այն համը որն առավել հագեցվածություն է բերում։</t>
  </si>
  <si>
    <t>SE-ն տեղեկացրել է, որ IQOS ILUMA-ն ապահովում է սիգարետին նման հագեցվածություն:</t>
  </si>
  <si>
    <t>SE-Ն նշել է, ինչ ֆունկցիաներ ունեն սարքերը</t>
  </si>
  <si>
    <t>Տեղեկացրել է , որ չի կարող ներկայացնել սարքերը, քանի որ non-lanu եք։</t>
  </si>
  <si>
    <t>SE-ն նշել է, որ IQOS-ը այն ծխողների համար է, ովքեր հակառակ դեպքում կշարունակեին ծխելը։</t>
  </si>
  <si>
    <t>SE-ը պարզաբանել է, որ IQOS-ը չի հանդիսանում ծխելը թողնելու միջոց։</t>
  </si>
  <si>
    <t>SE-ն առաջարկել է հարցերի դեպքում զանգահարել զանգերի կենտրոն։</t>
  </si>
  <si>
    <t xml:space="preserve">ՀՀ </t>
  </si>
  <si>
    <t>Մասնաճյուղի անվանում</t>
  </si>
  <si>
    <t>ԳԳ Անուն Ազգանուն</t>
  </si>
  <si>
    <t>Այցելության ամսաթիվ</t>
  </si>
  <si>
    <t>Այցելության սկիզբ</t>
  </si>
  <si>
    <t>Այցելության ավարտ</t>
  </si>
  <si>
    <t>Այցի ընդհանուր տևողություն</t>
  </si>
  <si>
    <t>Սցենար</t>
  </si>
  <si>
    <t xml:space="preserve">SE-ն բարեհամբյուր կերպով ողջունել և ներկայացել է Ձեզ։  </t>
  </si>
  <si>
    <t xml:space="preserve">Ձեր ժամանման պահին խանութը մաքո՞ւր էր։ </t>
  </si>
  <si>
    <t xml:space="preserve">SE-ի ընդհանուր արտաքինն ու մաքրությունը տեղի՞ն էր։ </t>
  </si>
  <si>
    <t xml:space="preserve">SE-ն կրում էր անվանապիտակ </t>
  </si>
  <si>
    <t>SE Անուն/ազգանուն</t>
  </si>
  <si>
    <t xml:space="preserve">Արդյոք խնդրել է ներկայացնել անձը հաստատող փաստաթուղթ </t>
  </si>
  <si>
    <t xml:space="preserve">Տեղեկացրել է , որ չի կարող ներկայացնել սարքերը, քանի որ non-lanu եք։ </t>
  </si>
  <si>
    <t xml:space="preserve">Տեղեկացրել է, որ PMI-ի անծուխ արտադրանքները նախատեսված են այն չափահասների համար, ովքեր հակառակ դեպքում կշարունակեին ծխել կամ օգտագործել այլ նիկոտինային արտադրանք։  </t>
  </si>
  <si>
    <t xml:space="preserve">SE-ն նշել է առկա բոլոր սարքերի մոդելները  (IQOS ILUMA (i)PRIME, IQOS ILUMA (i), IQOS ILUMA (i) ONE ) </t>
  </si>
  <si>
    <t xml:space="preserve">SE-ն նշել է՝ ինչ ֆունկցիաներ ունեն սարքերը </t>
  </si>
  <si>
    <t xml:space="preserve">SE-ն նշել է SMARTCORE ինդուկցիոն համակարգի մասին </t>
  </si>
  <si>
    <t xml:space="preserve">SE-ն առաջարկել է դուրս գալ վաճառակետից և փորձարկել սարքը </t>
  </si>
  <si>
    <t xml:space="preserve">SE-ն ներկայացրել է, որ IQOS ILUMA սարքերը չունեն լեզվակ, մաքրման կարիք չունեն </t>
  </si>
  <si>
    <t xml:space="preserve">SE-ն նշել է, որ IQOS ILUMA-ն համատեղելի է միայն TEREA SMARTCORE սթիքերի հետ։ </t>
  </si>
  <si>
    <t xml:space="preserve">SE-ն հարցրել է ձեր  համային նախասիրությունները և հիմնվելով դրա վրա խորհուրդ է տվել, թե TEREA-ի որ տարբերակը կարող եք գնել։  </t>
  </si>
  <si>
    <t xml:space="preserve">Նկարագրել է արդյոք TEREA սթիքերի առկա տեսականին </t>
  </si>
  <si>
    <t xml:space="preserve">Առաջարկել է արդյոք փորձել 2+ համ </t>
  </si>
  <si>
    <t xml:space="preserve">Ներկայացրել է նոր համերն ու կապսուլները և ցույց տվեց ինչպես օգտագործել </t>
  </si>
  <si>
    <t xml:space="preserve">SE-ն պատմել է СO մետրի մասին </t>
  </si>
  <si>
    <t xml:space="preserve">SE-ն առաջարկել է ձեզ անցնել CO meter թեսթը </t>
  </si>
  <si>
    <t xml:space="preserve">SE-ն բացատրել է թեսթի արդյունքները </t>
  </si>
  <si>
    <t xml:space="preserve">SE-ն տեղեկացրե՞լ է, որ 1 շաբաթ միայն IQOS Iluma օգտագործելու դեպքում ցուցանիշը բարելավվելու է </t>
  </si>
  <si>
    <t xml:space="preserve">SE-ն առաջարկել է մասնակցել 7օրյա մարտահրավերին </t>
  </si>
  <si>
    <t xml:space="preserve">SE-առաջարկել է գնել սարքը </t>
  </si>
  <si>
    <t xml:space="preserve">SE-ն հետաքրքրվել է ինչու չեք գնում սարքը </t>
  </si>
  <si>
    <t xml:space="preserve">SE-ն պատասխանել է առարկություններին ներքևում բերված որևէ պնդմամբ։ </t>
  </si>
  <si>
    <t xml:space="preserve">SE-ն տեղեկացրել է, որ IQOS ILUMA-ն արտազատում է 95%-ով քիչ վնասակար քիմիական նյութեր` ի տարբերություն սիգարետների: </t>
  </si>
  <si>
    <t xml:space="preserve">SE-ն տեղեկացրել է ,որ ամբողջովին IQOS ILUMA-ին անցում կատարելն ավելի քիչ ռիսկեր է ներկայացնում Ձեր առողջության համար, քան ծխելը շարունակելը։*  </t>
  </si>
  <si>
    <t xml:space="preserve">SE-ն տեղեկացրել է ր որ ՍԻԳԱՐԵՏՆԵՐՆ ԱՌԱՋԱՑՆՈՒՄ ԵՆ ԽԵԺ  -  IQOS ILUMA-Ն` ՈՉ։ Այն առաջացնում է աերոզոլի մնացորդ, որն էապես տարբերվում է խեժից և բաղկացած է զգալիորեն ցածր մակարդակի վնասակար քիմիական նյութերից </t>
  </si>
  <si>
    <t xml:space="preserve">SE-ն տեղեկացրել է, որ սիգարետները շրջապատի մարդկանց ենթարկում են ծխի ազդեցությանը, իսկ IQOS ILUMA-ն՝ ոչ։
IQOS ILUMA-ն ծուխ կամ երկրորդային ծուխ չի արտադրում: </t>
  </si>
  <si>
    <t xml:space="preserve">SE-ն տեղեկացրել է, որ Սիգարետներն այրում են ծխախոտը, ինչի արդյունքում արտադրվում է մեծ քանակությամբ ածխածնի մոնօքսիդ: IQOS ILUMA-ն չի այրում ծխախոտը` արտադրելով միջինում 98% ավելի քիչ ածխածնի մոնօքսիդ (CO), ինչպես նաև այլ վնասակար քիմիական նյութերի զգալիորեն ավելի ցածր մակարդակ` ի տարբերություն սիգարետների: </t>
  </si>
  <si>
    <t xml:space="preserve">SE-Ն տեղեկացրել է ,որ մեր պնդումները հիմնված են ՖՄԻ կողմից կատարված բազմաթիվ հետազատությունների վրա </t>
  </si>
  <si>
    <t xml:space="preserve">SE-ն խոսել է սարքերի մասին՝ պահպանելով հիերարխիան  (IQOS ILUMA (i)PRIME, IQOS ILUMA (i), IQOS ILUMA (i) ONE ) </t>
  </si>
  <si>
    <t xml:space="preserve">SE-ն առաջարկել է ցանկացած հարցի դեպքում կրկին վաճառակետ այցելել կամ զանգահարել IQOS սպասարկման կենտրոն։ (web) </t>
  </si>
  <si>
    <t xml:space="preserve">SE-ն բարեհամբյուր կերպով հաջողություն է մաղթել և ավարտել խոսակցությունը։ </t>
  </si>
  <si>
    <t xml:space="preserve">MS-ի ընդհանուր տպավորություններ </t>
  </si>
  <si>
    <t>Մեկնաբոնություն</t>
  </si>
  <si>
    <t xml:space="preserve">Ի՞նչ կարելի է անել փորձը բարելավելու համար։ </t>
  </si>
  <si>
    <t>Իսհակյան SAS</t>
  </si>
  <si>
    <t xml:space="preserve">Գոհար Խաչատրյան </t>
  </si>
  <si>
    <t>13.10.25</t>
  </si>
  <si>
    <t>YAP BR5</t>
  </si>
  <si>
    <t>Անի</t>
  </si>
  <si>
    <t>n/a</t>
  </si>
  <si>
    <t>Բարեհամբույր , դրական ներկայացրեց տեսականին քանի որ ասացի նվերի համար է</t>
  </si>
  <si>
    <t>Էրեբունի YC</t>
  </si>
  <si>
    <t>Աիդա Սահակյան</t>
  </si>
  <si>
    <t>Չեմ կարող ասել</t>
  </si>
  <si>
    <t>Աշխատակցին խնդրել որ անձը հաստատող փաստաթուղթ խնդրի հաճախորդից</t>
  </si>
  <si>
    <t>Մեգամոլ</t>
  </si>
  <si>
    <t xml:space="preserve">Փերի Սաֆարյան </t>
  </si>
  <si>
    <t>14.10.25</t>
  </si>
  <si>
    <t>Շատ Լավ</t>
  </si>
  <si>
    <t>Կոմիտաս YC</t>
  </si>
  <si>
    <t>Լուսինե</t>
  </si>
  <si>
    <t>Աշխատակիցը բարեհամբույր էր և պահպանեց վաճառքի էթիկան։ Քանի որ ես ծխող չէի, նա ճիշտ մոտեցում ցուցաբերեց՝ չներկայացնելով արտադրանքը և հարգելով հաճախորդի դիրքորոշումը։ Ընդհանուր տպավորությունը դրական էր, սպասարկումը՝ կուլտուրական և պրոֆեսիոնալ։</t>
  </si>
  <si>
    <t>Ընդհանուր առմամբ շատ կոռեկտ և հարգալից սպասարկում էր։ Խորհուրդ է տրվում մի փոքր ավելի բաց հաղորդակցություն ցուցաբերել՝ նաև չծխող հաճախորդների հետ՝ տեղեկատվական տեսանկյունից։ Սա կօգնի ընդլայնել հաճախորդների շրջանակը և բարելավել խանութի ընդհանուր փորձը</t>
  </si>
  <si>
    <t>Փերի Սաֆարյան</t>
  </si>
  <si>
    <t>15․10․25</t>
  </si>
  <si>
    <t>Բավականին լավ</t>
  </si>
  <si>
    <t>ոչինչ</t>
  </si>
  <si>
    <t>Դալմա</t>
  </si>
  <si>
    <t>BR2</t>
  </si>
  <si>
    <t>Մերի</t>
  </si>
  <si>
    <t>Երևան Մոլ</t>
  </si>
  <si>
    <t>Հարությունյան Տաթևիկ</t>
  </si>
  <si>
    <t>BR1</t>
  </si>
  <si>
    <t>Արսեն</t>
  </si>
  <si>
    <t>Աշխատակցին ասացի, որ ակտիվ ծխող չեմ, փորձեց հետ պահել գնելուց՝ այսինքն ծխել սկսելուց, չտվեց ապրանքի մասին ինֆորմացիա՝ կրկին ելնելով իմ չծխելուց, քանի որ իրավասու չէր: Սպասարկումը եղել ա շատ բարեհամբույր, համոզիչ, աշխատակցի արտաքին տեսքը, ինչպես նաև սրահը ՝ կոկիկ, մաքուր:</t>
  </si>
  <si>
    <t>Ես ոչինչ չէի փոխի</t>
  </si>
  <si>
    <t>Արտաշատ՝ Տիտան</t>
  </si>
  <si>
    <t>Անժելա Հովհաննիսյան</t>
  </si>
  <si>
    <t>Խնամված,կոկիկ,կիրթ,ակտիվ աղջիկ էր։Բարեհամբույր,հքմբերատար սպասարկեց։</t>
  </si>
  <si>
    <t>Նոր համերի առկայություն</t>
  </si>
  <si>
    <t>Մալիբու YC</t>
  </si>
  <si>
    <t>Արտյոմ</t>
  </si>
  <si>
    <t>Գրագետ,պրոֆեսիոնալ մոտեցում,ոչ կպչուն։</t>
  </si>
  <si>
    <t>Նոր հետաքրքիր համեր կապսուլաներով։</t>
  </si>
  <si>
    <t>Մաշտոց</t>
  </si>
  <si>
    <t>Նոր համեր</t>
  </si>
  <si>
    <t>Պարմա</t>
  </si>
  <si>
    <t>Աշոտ</t>
  </si>
  <si>
    <t>Նոր համեր արտադրել</t>
  </si>
  <si>
    <t>Հակոբ Կարկոնցյան</t>
  </si>
  <si>
    <t>BR3</t>
  </si>
  <si>
    <t>Աշխատակցի բեյջը տեսանելի չէր, անունը ֆիքսել չի հաջողվել։</t>
  </si>
  <si>
    <t>ոչ</t>
  </si>
  <si>
    <t>Խոսել արշավներից, կենտրոնանալ ծխախոտի հանդեպ առավելությունների վրա։</t>
  </si>
  <si>
    <t xml:space="preserve">IQOS ILUMA-ն երկրորդային ծուխ չի առաջացնում </t>
  </si>
  <si>
    <t>SE-ն հետաքրքրվել է, թե հաճախորդն ինչ գիտի IQOS սարքերի (ներառյալ IQOS ILUMA կամ IQOS ILUMA i սարքերի մասին)</t>
  </si>
  <si>
    <t xml:space="preserve">SE-ն տվել է ձեզ հարցեր, որպեսզի հասկանա ինչ կարիքներ, նախասիրություններ կամ ցավոտ կետեր ունեք։ </t>
  </si>
  <si>
    <t>Դավիթ Ուստաբաշյան</t>
  </si>
  <si>
    <t>Դավթաշեն YC</t>
  </si>
  <si>
    <t>13․10․25</t>
  </si>
  <si>
    <t>16․10․25</t>
  </si>
  <si>
    <t>16։07</t>
  </si>
  <si>
    <t>16։25</t>
  </si>
  <si>
    <t>17։35</t>
  </si>
  <si>
    <t>17։50</t>
  </si>
  <si>
    <t>Մեկնաբանություն</t>
  </si>
  <si>
    <t>Աշխատակիցը ընթացքում ասաց, որ շատ ինֆրոմացիա տրամադրել չի կարող, բայց քանի որ նշել էի, որ նվեր եմ ուզումգնել, բավականաչափ ինֆորմացիա տրամադրեց սարքի մասին։</t>
  </si>
  <si>
    <t>Աշխատակիցը նախքան սպասարկումը խնդրեց ներկայացնեմ անձը հաստատող փաստաթուղթ։</t>
  </si>
  <si>
    <t>18։40</t>
  </si>
  <si>
    <t>18։42</t>
  </si>
  <si>
    <t>Աշխատակիցը չուներ անվանաքարտ, այդ իսկ պատճառով չկարողացա իմանալ անունը։</t>
  </si>
  <si>
    <t>Աշխատակիցը չի ուզել ինձանից անձը հաստատող փաստաթուղթ։</t>
  </si>
  <si>
    <t>Աշխատակիցը հարցրեց ուղղակի ինչ արժեքի մեջ եմ ուզում գնել ու ներկայացրեց գնային սեգմնենտը։</t>
  </si>
  <si>
    <t>12։12</t>
  </si>
  <si>
    <t>12։14</t>
  </si>
  <si>
    <t>Աշխատակիցը ասաց, որ քանի որ ծխող չեմ հանդիսանում, չեն կարող ներկայացնել որևէ լրացուցիչ ինֆորմացիա, կարող են միայն գներին ծանոթացնել։</t>
  </si>
  <si>
    <t>Անձը հաստատող փաստաթուղթ չի ուզել աշխատակիցը։</t>
  </si>
  <si>
    <t>Աշխատակիցը չուներ անվանապիտակ</t>
  </si>
  <si>
    <t>Աշխատակիցը ասաց, որ ինֆորմացիան տրամադրում են ծխախոտ օգտագործող մարդկանց։</t>
  </si>
  <si>
    <t>Աշխատակիցը չտրամադրեց ինֆորմացիան,նշեց, որ պետք է ծխող՝ սարքը օգտագործող անձը մոտենա։</t>
  </si>
  <si>
    <t>Աշխատակիցը հենց սկզբում խնդրեց ներկայացնել անձնագիրս, քանի որ առանց դրա իրավունք չունի ներկայացնել ինֆորմացիան։</t>
  </si>
  <si>
    <t>18։19</t>
  </si>
  <si>
    <t>18։32</t>
  </si>
  <si>
    <t>կարծումեմ ոչինչ</t>
  </si>
  <si>
    <t>Աշխատակիցը ինձ հարցրեց ես ծխում եմ թե ոչ, ներկայացրեցի, որ նվերի համար եմ ուզում, ասաց, որ շատ ինֆորմացիա տրամադրել չի կարող։</t>
  </si>
  <si>
    <t>12։19</t>
  </si>
  <si>
    <t>12։21</t>
  </si>
  <si>
    <t>Աշխատակիցը չէր կրում անվանապիտակ, չներկայացավ, անունը ֆիքսել չհաջողվեց։</t>
  </si>
  <si>
    <t>Անձը հաստատող փաստաթուղթ աշխատակիցը չի ուզել ։</t>
  </si>
  <si>
    <t>Աշխատակիցը չի նշեց, որ չի կարող ներկայացնել պայմանները, չնայած որ, կարիքներս բացահայտեց, տեղեկացավ, որ ինձհամար չէ սարքը։ Ներկայացրեց գները ու սարքերի տարբերությունները։</t>
  </si>
  <si>
    <t>Աշխատակիցը չի տեղեկացրել ինձ։</t>
  </si>
  <si>
    <t>Աշխատակիցը սպասարկման սկզբում խնդրեց ներկայացնել անձը հաստատող փաստաթուղթ։</t>
  </si>
  <si>
    <t>Աշխատակիցը հարցրեց, երբևիցե օգտագործել եմ թե ոչ, ու որ տեսակն եմ օգտագործել, ինչն է ինձ դուր եկել։</t>
  </si>
  <si>
    <t>Աշխատակիցը ներկայացրեց սարքերը, խոսեց նաև տարբերության մասին։</t>
  </si>
  <si>
    <t>Աշխատակիցը հարցրեց ինձ, արդյոք ծանոթ եմ սարքերին, թե ոչ։</t>
  </si>
  <si>
    <t>Մանրամասն ներկայացրեց և սարքերը և սթիքերը և ընդհանուր սրտացավ էր։</t>
  </si>
  <si>
    <t>Պրոֆեսիոնալ սպասարկում էր</t>
  </si>
  <si>
    <t>17։29</t>
  </si>
  <si>
    <t>Աշխատակիցը անմիջապես սկսել է սպասարկումս, առանց անձը հաստատող փաստաթղթի։</t>
  </si>
  <si>
    <t>Աշխատակիցըասաց, որ որպես չծխող անձ հավելյալ ինֆորմացիա տրամադրել չի կարող, միայն գները կարող է ներկայացնել։</t>
  </si>
  <si>
    <t>16։47</t>
  </si>
  <si>
    <t>17։15</t>
  </si>
  <si>
    <t>Աշխատակիցը հարցրեց ինձ,թե որ սարքից եմ փորձել։</t>
  </si>
  <si>
    <t>Աշխատակիցը հարցրեց, ծխում եմ թե ոչ,IQOS–ի որ տարբերակից եմ փորձել։</t>
  </si>
  <si>
    <t>Աշխատակիցը ներկայացրեց սարքերի տեսակները, խոսեց նաև տարբերություններից՝ թե ֆունկցիոնալ, թե գնային։</t>
  </si>
  <si>
    <t>Աշխատակիցը խոսեց սարքերի տարբերությունների, առանձնացրեց յուրաքանչյուրի ֆունկիցիաները ու խոսեց առավելությունների մասին՝ համեմատելով ծխախոտի հետ։</t>
  </si>
  <si>
    <t>Աշխատակիցը մանրամասն ներկայացրեց սարքերի ֆունկցիաները։</t>
  </si>
  <si>
    <t>Մանե</t>
  </si>
  <si>
    <t>18։06</t>
  </si>
  <si>
    <t>Աշխատակիցը խնդրեց անձնագիրս, հետո սկսեց սպասարկումս։</t>
  </si>
  <si>
    <t>Աշխատակիցը հարցրեց ծանոթ եմ սարքերին, թե ոչ, ինքս օգտագործել եմ արդյոք։</t>
  </si>
  <si>
    <t>Աշխատակիցը ներկայացրեց առկա սարքերը, խոսեց տարբերությունների մասին։</t>
  </si>
  <si>
    <t>Աշխատակիցը հարցրեց ինչ համային ընտրություն ունեմ։</t>
  </si>
  <si>
    <t>18։56</t>
  </si>
  <si>
    <t>Աշխատակիցը հարցրեց որ տեսակից եմ փորձել։</t>
  </si>
  <si>
    <t>Աշխատակիցը ներկայացրեց սարքերի ֆունկցիաները։</t>
  </si>
  <si>
    <t>Աշխատակիցը սարքի տեսակները ներկայացրեց, առանձնացնելով տարբերությունները։</t>
  </si>
  <si>
    <t>Անձը հաստատող փաստաթուղթ աշխատակիցը չի ուզել , սակայն րոպեներ առաջ գնում էի ծխախոտ գանձապահից, և այնտեղ ցույց եմ տվել անձնագիրս, հնարավոր է, որ աշխատակիցը դա ֆիքսել է։</t>
  </si>
  <si>
    <t>Գրագետ, պրոֆեսիոնալ մոտեցում</t>
  </si>
  <si>
    <t>Գրագետ, բարեհամբույր սպասարկեց։</t>
  </si>
  <si>
    <t>Աշխատակիցը ներկայացրեց տեսակները սարքի, խոսեց առանձնահատկություններից։</t>
  </si>
  <si>
    <t>16։20</t>
  </si>
  <si>
    <t>16։29</t>
  </si>
  <si>
    <t>Աշխատակիցը հարցրեց թե որ տարբերակից եմ փորձել։</t>
  </si>
  <si>
    <t>Աշխատակիցը հարցրեց ծխախոտ օգտագործում եմ թե ոչ, ու որքան հաճախ։</t>
  </si>
  <si>
    <t>Աշխատակիցը հարցրեց ծխախոտ օգտագործում եմ թե ոչ, ինձ համար եմ ուզում գնել սարքը, թե ոչ։</t>
  </si>
  <si>
    <t>Աշխատակիցը միայն հարցրեց թե ինչ տեսակ եմ փորձել, այլ հարց չի ուղղել։</t>
  </si>
  <si>
    <t>Աշխատակիցը խոսեց սարքերի տեսակներից, ներկայացրեց տարբերությունները, շեշտադրեց առավելությունները։</t>
  </si>
  <si>
    <t>Մասամբ ինֆոռմացրեց նոր տեսակների մասին,ինչպես են աշխատում և ինչ առանձնահատկություններ ունեն,բայց չտրամադրեց ինֆորմացիա CO meter թեսթի,7 օրյա արշավի և փորձելու մասին, շատ մանրամասն ինֆորմացիա չստացա։</t>
  </si>
  <si>
    <t>19։48</t>
  </si>
  <si>
    <t>20։27</t>
  </si>
  <si>
    <t>Անժելիկա</t>
  </si>
  <si>
    <t>Աշխատակիցը հարցրեց ինչ եմ հիմա օգտագործում, ինչի համար եմ ուզում օգտագործել Iqos, կողքից եմ փորձել, թե օգտագործել եմ շարունակաբարԼ</t>
  </si>
  <si>
    <t>Աշխատակիցը խոսեց սարքի ֆունկցիաներից, ներկայացրեց տարբերությունները։</t>
  </si>
  <si>
    <t>Ընդհանուր ամեն ինչ ներկայացրել է, բացատրել, բոլոր հարցերին իդեալական պատասխանել է</t>
  </si>
  <si>
    <t>Աշխատակիցը ներկայացրել էտեսակները, խոսել տարբերություններից։</t>
  </si>
  <si>
    <t>15։05</t>
  </si>
  <si>
    <t>15։20</t>
  </si>
  <si>
    <t>Ալբերտ</t>
  </si>
  <si>
    <t>Աշխատակիցը հարցրեց ծխում եմ թե ոչ, ծխախոտ թե Iqos եմ օգտագործում։</t>
  </si>
  <si>
    <t>Աշխատակիցը չհարցրեց ծանոթ եմ սարքին թե ոչ։</t>
  </si>
  <si>
    <t>Աշխատակիցը ներկայացրեց տեսակները, խոսեց տարբերությունների ու առանձնահատկությունների մասին։</t>
  </si>
  <si>
    <t>Աշխատակիցը խոսեց ֆունկացիաների մասին սարքի, առանձին ներկայացրեց յուրաքանչյուր տեսակինը։</t>
  </si>
  <si>
    <t>Հաճախորդներին ավելի շատ տեղեկություն տրամադրել սարքերի մասին</t>
  </si>
  <si>
    <t>Աշխատակիցը բարեհամբյուր էր, ընդհանուր առմամբ ներկայացնում էր, սակայն կային կետեր որոնց մասին չխոսեց։</t>
  </si>
  <si>
    <t>17։13</t>
  </si>
  <si>
    <t>17։16</t>
  </si>
  <si>
    <t>Աշխատակիցը բարեհամբույր էր և կոռեկտ ձևով տեղեկացրեց, որ չի կարող ներկայացնել արտադրանքը, քանի որ ես ծխող չեմ։Ընդհանուր տպավորությունը դրական էր․ մաքուր միջավայր, կարգապահ սպասարկում։</t>
  </si>
  <si>
    <t>Կուզեի առաջարկեին տեղեկատվական տարբերակներ (օր.՝ որպես նվեր կամ չծխողների հետաքրքրության համար): Դա կօգնի, որ հաճախորդը չզգա մերժում, իսկ փորձը դառնա լիարժեք դրական։</t>
  </si>
  <si>
    <t>Աշխատակիցը սեղմ ինֆորմացիա տրամադրեց՝ խոսեց գներից, սարքերի տարբերություն,ըստ գնային տարբերության, հավելյալ ինֆորմացիայի համար ասաց, որ պետք է ծխող անձը մոտենա։</t>
  </si>
  <si>
    <t>Զավեն</t>
  </si>
  <si>
    <t>Աշխատակիցը անձնագիր չի ուզել։</t>
  </si>
  <si>
    <t>Աշխատակիցը ասաց, որ քանի որ ծխող չեմ, շատ ինֆորմացիա տրամադրել չի կարող։</t>
  </si>
  <si>
    <t>Աշխատակիցը չի տեղեկացրել ինձ թե ինչի համար են նախատեսված սարքերը։</t>
  </si>
  <si>
    <t>Աշխատակիցը հարցրեց, ում համար է սարքը, արդյոք սիգարետ օգտագործում եմ։ Ասացի, որ նոր եմ ուզում օգտագործել, փորձել եմ, դուր է եկել։ Աշխատակիցը առաջարկեց զերծ պահել ինֆորմացիայից, խորհուրդ տվեց չսկսել ծխել առհասարակ։</t>
  </si>
  <si>
    <t>21։35</t>
  </si>
  <si>
    <t>22։05</t>
  </si>
  <si>
    <t>Գարգետ,պրոֆեսիոնալ,բարեհամբույր էր</t>
  </si>
  <si>
    <t>Նոր համեր ավելացնել</t>
  </si>
  <si>
    <t>Աշխատակիցը հարցրեց, որևիցե տեղեկություն ունեմ սարքերից թե ոչ։</t>
  </si>
  <si>
    <t>Աշխատակիցը հարցրեց ծխում եմ թե ոչ, ծխախոտ երբ եմ օգտագործել վերջին անգամ, ինչ նախընտրություն ունեմ համային։</t>
  </si>
  <si>
    <t>Աշխատակիցը հարցրեց,ծանոթ եմ սարքին արդյոք, որ տեսակից եմ օգտագործել։</t>
  </si>
  <si>
    <t>Աշխատակիցը ներկայացրեց սարքերի ֆունկցիաները, մանրամասն նշեց տարբերությունները։</t>
  </si>
  <si>
    <t>18․10․25</t>
  </si>
  <si>
    <t>20․10․25</t>
  </si>
  <si>
    <t>21․10․25</t>
  </si>
  <si>
    <t>Անի Թումանյան</t>
  </si>
  <si>
    <t>Հովսեփ</t>
  </si>
  <si>
    <t>Արամ</t>
  </si>
  <si>
    <t>Էմմա Սարգսյան</t>
  </si>
  <si>
    <t>Բագրատունյանց YC</t>
  </si>
  <si>
    <t xml:space="preserve">Գյումրի՝ OK Supermarket  </t>
  </si>
  <si>
    <t xml:space="preserve">Գյումրի՝ Aleksandrovski  </t>
  </si>
  <si>
    <t>Միշա Մանուկյան</t>
  </si>
  <si>
    <t>17․10․25</t>
  </si>
  <si>
    <t>BR4</t>
  </si>
  <si>
    <t>Արման</t>
  </si>
  <si>
    <t>Հրազդան</t>
  </si>
  <si>
    <t>22.10.25</t>
  </si>
  <si>
    <t>19.10.25</t>
  </si>
  <si>
    <t>24.10.25</t>
  </si>
  <si>
    <t>23.10.25</t>
  </si>
  <si>
    <t>Հալաբյան SAS</t>
  </si>
  <si>
    <t>Սարգիս Հարությունյան</t>
  </si>
  <si>
    <t>Վայք</t>
  </si>
  <si>
    <t>Վարդուհի Լևոնյան</t>
  </si>
  <si>
    <t>Վաչիկ Լևոնյան</t>
  </si>
  <si>
    <t>24․10․25</t>
  </si>
  <si>
    <t>25․10․25</t>
  </si>
  <si>
    <t>Սերգեյ Փահլեվանյան</t>
  </si>
  <si>
    <t>Մկրտիչ Ավետիսյան</t>
  </si>
  <si>
    <t>Վանաձոր YC</t>
  </si>
  <si>
    <t>Հարություն Բաբաջանյան</t>
  </si>
  <si>
    <t>Կապան</t>
  </si>
  <si>
    <t>Անուշ Ծատրյան</t>
  </si>
  <si>
    <t>Սաթինե Սարգսյան</t>
  </si>
  <si>
    <t>27․10․25</t>
  </si>
  <si>
    <t>Աշխատակցի անվանաքարտը տեսանելի չէր, երկար էր։</t>
  </si>
  <si>
    <t>Աշխատակցուհին բարեհամբույր էրպատասխանեց հարցերիս սրտացավ կերպով,տեսքը կոկիկ ու հարդարված էր ինչը կարող է օրինակ հանդիսանալ այլ աշխատակիցների համար։</t>
  </si>
  <si>
    <t>Կարելի էր պահանջել անձը հաստատող փաստաթուղթ</t>
  </si>
  <si>
    <t>Ամեն ինչ համապատասխանում էր առաջադրանքին։</t>
  </si>
  <si>
    <t>Ավելի շատ անցկացնել,այսպիսի այցեր։</t>
  </si>
  <si>
    <t>Աշխատակիցը ասաց, որ ես ծխող չեմ նիկոտինի և այլնի հետ կապված ինֆորմացիա չի կարող տրամադրել։ Բարեհամբույր էր, սարքերին ծանոթացրեց, քանզի ես ասեցի ընկերոջս համար է զուտ ցույց տվեց ասեց արժեքները, ասաց, որ եթե սարքը գնեմ արդեն մնացած մանրամասներ չի կարող ներակայցնել կնվիրեմ ընկերոջս ընկերս թող գա նրան կներկայացնի։</t>
  </si>
  <si>
    <t>Մելինե</t>
  </si>
  <si>
    <t>Արեն</t>
  </si>
  <si>
    <t>Արփինե</t>
  </si>
  <si>
    <t>Դրական, բարեհամբույր</t>
  </si>
  <si>
    <t>Իմ կարծիքով վերահսկողություն կա,, վաճառքը իրականացնում են չափահասին,</t>
  </si>
  <si>
    <t>Ամեն ինչ համապատասխան էր և կարգավորված։</t>
  </si>
  <si>
    <t>Աշխատակից է բարեհամբույր է տեղեկացված ապրանքներից, բայց չի պաշտպանում ծխախոտ վաճառելու կանոնները չհարցրեց իմ չափահաս լինել չլինելու մասին և արդյոք օգտագործում եմ ծխախոտ թե ոչ։</t>
  </si>
  <si>
    <t>Պահպանել ծխախոտ վաճառելու կանոնները և դրա մասին հիշեցնել աշխատակցին</t>
  </si>
  <si>
    <t>Կարեն</t>
  </si>
  <si>
    <t>Ընդհանուր առմամբ լավ սպասարկում էր աշխատակցի կողմից։</t>
  </si>
  <si>
    <t>Պահպանել կանոնակարգը</t>
  </si>
  <si>
    <t>Փորձեց մանրամասն ներկայացնել</t>
  </si>
  <si>
    <t>Փորձել նաև այլ տեսանկյունից ներկայացնել</t>
  </si>
  <si>
    <t>Աշխատակցի բեյջը անտեսալի էր, անունը չէր երևում, կրում էր մուգ կապույտ կոստյում, սևահեր, կոկիկ մորուքով երիտասարդ էր։</t>
  </si>
  <si>
    <t>Աշխատակիցը խնդրեց ներկայացնեմ անձնագիրս։</t>
  </si>
  <si>
    <t>Աշխատակիցը սպասարկման սկզբում ասաց, որ ներկայացնեմ անձնագիր։</t>
  </si>
  <si>
    <t>Կփորձեր այնպես անել որ խուսափեմ օգտագործելուց</t>
  </si>
  <si>
    <t>Փորձել ավելի շատ տեղեկություն տալ</t>
  </si>
  <si>
    <t>Բարեկիրթ երիտասարդ էր, բավականին ինֆորմացվծ</t>
  </si>
  <si>
    <t>Չարտահայտել անձնական կարծիքը (առաջարկը զերծ մնալ ծխելուց)</t>
  </si>
  <si>
    <t>Լավ տիրապետում էր ինֆորմացիային,լավ սպասարկեց։Քանի որ ասել էի մշտական ծխող չեմ,խորհուրդ տվեց չծխեմ, ինչը դրական էր ինձ համար։</t>
  </si>
  <si>
    <t>Աշխատակցի անվանապիտակը տեսանելի չէր</t>
  </si>
  <si>
    <t>Շատ լավ սպասարկում էր</t>
  </si>
  <si>
    <t xml:space="preserve">Արփինե </t>
  </si>
  <si>
    <t>Հիմնականում կարիքների բացահայտում և առաջարկ տեղի չունեցավ։ Քանի որ զրույցը չէր շարունակվում ես սկսեցի հարցեր տալ, նաև խնդրեցի որ ինքս փորձեմ նոր iqos iluma I սարքը, որից հետո հետաքրքրվեցի ապառիկ վաճառքից, նշեցին, որ ապառիկ այս կետում չեն անում, առաջարկեցին մոտենալ Ալեքսանդրովկի սրահ։</t>
  </si>
  <si>
    <t>Սրահներում ունենալ բոլոր առկա համերը փորձելու համար։</t>
  </si>
  <si>
    <t>30․10․25</t>
  </si>
  <si>
    <t>Վահե Սիմոնյան</t>
  </si>
  <si>
    <t>Աշխատակիցը չուներ անվանաքարտ։</t>
  </si>
  <si>
    <t>Բարեհամբյուր սպասարկում, կոկիկ արտաքին տեսք, ընդհանուր գիտելիք Iqos–ի վերաբերյալ։</t>
  </si>
  <si>
    <t>Ուշադրություն դարձնել բեյջերի առկայությանը, նոր համերի մանրամասն ներկայացում</t>
  </si>
  <si>
    <t>Իսահակյան Sas</t>
  </si>
  <si>
    <t>28․10․25</t>
  </si>
  <si>
    <t>Աշխատակիցը ներկայացրեց սարքերը և առավելությունները,կարծում եմ կարիք կա հաճախորդների հանդեպ լինել մի փոքր ավելի նրբանկատ և համբերատար սպասարկման ընթացքում։</t>
  </si>
  <si>
    <t>Աշխատակիցը ներկայացրեց տեսականին և մոդելները։Առաջարկեց դուրս գալ ծխելու ,երեք հատիկ ստիքի համար վճարել 100 դրամ։</t>
  </si>
  <si>
    <t>Ավելի մանրամանս ներկայացնել առավելությունները և ծրագրերը։</t>
  </si>
  <si>
    <t>Բագրատ</t>
  </si>
  <si>
    <t>Աշխատակիցը մանրակրկիտ սպասարկում իրականցրեց , տեղեկացրեց նախորդ մոդելների նկատամամբ նոր մոդելների առավելությունների մասին։</t>
  </si>
  <si>
    <t>Փորձել ավելի շատ թիրախավերել ծխախոտի նկատմամաբ առավելությունները։</t>
  </si>
  <si>
    <t>ՈՉ</t>
  </si>
  <si>
    <t>Բարեհամբույր էր</t>
  </si>
  <si>
    <t>Լինել ավելի նախաձեռնող</t>
  </si>
  <si>
    <t>Արագ էր խոսում և շտապում էր</t>
  </si>
  <si>
    <t>Ավելի բարեհամբույր լինել</t>
  </si>
  <si>
    <t>Էմմա</t>
  </si>
  <si>
    <t>Լուիզա</t>
  </si>
  <si>
    <t>Ընդհանուր առմամբ ամեն ինչ ներկայացրեց, բարեհամբյուր էր, սակայն կային բաներ որոնց մասին չխոսեց, օրինակ չհարցրեց ինչ նախասիրություններ ունեմ ինձ հարմար համ գտնելու համար</t>
  </si>
  <si>
    <t>Առաջարկել փորձել ներ մոդելները և կարծիք հարցնել դրա օգտագերծման մասին։</t>
  </si>
  <si>
    <t>Անժելա</t>
  </si>
  <si>
    <t xml:space="preserve">Ոչ </t>
  </si>
  <si>
    <t>Բավականին լավ սպասարկում և հարցերի պատասխաններ։Մանրամասն քննարկում տեսակների և ծխախոտի առավեկությունների մասին։</t>
  </si>
  <si>
    <t>Շարունակել նույն կերպ սպարկել։</t>
  </si>
  <si>
    <t>Գեղեցիկ կահավորված հատված աշխատանքի համար:Աշխատակիցը մասմաբ ներկայացրեց առավելությունները,սակայն առաջարկեց փորձել համերը։</t>
  </si>
  <si>
    <t>Ավելի շատ շփվել հաճախորդների հետ և տալ հնարավորինս պրոդուկտիվ ինֆորմացիա առավելությունների և սարքի որակի,առանձնահատկությունների մասին։</t>
  </si>
  <si>
    <t>Աշխատակցի անվանաքարտը տեսանելի չէր, անունը ֆիքսել  չի հաջողվել</t>
  </si>
  <si>
    <t>Խնդիր չկար ընդանուր, բարեհամբյուր էր, բայց բաներ կար որ չասաց</t>
  </si>
  <si>
    <t>Բագրատունյանց</t>
  </si>
  <si>
    <t>Թիրախավորել սարքի նոր առավելությունների վրա։</t>
  </si>
  <si>
    <t>Մարիամ</t>
  </si>
  <si>
    <t>Նելլի</t>
  </si>
  <si>
    <t>Ամեն ինչ ներկայացրեց, բարեհամբյուր էր, անձնագիր չուզեց</t>
  </si>
  <si>
    <t>Բարեհամբույր ներկայացրեց բայց տրամադրեց քիր ինֆորմացիա։</t>
  </si>
  <si>
    <t>Ավելի շատ կենտրոնանալ մոդելների վրա և նրանց առավելությունների։</t>
  </si>
  <si>
    <t>Շատ քիչ ինֆորմացիա տրամադրեց և քիչ հետաքրքրասիրություն։</t>
  </si>
  <si>
    <t>Ավելի շատ խոսել առավելությունների մասին,և ներկայացնել դրանք մանրամասն և հասկանալի։</t>
  </si>
  <si>
    <t>Քրիստինե</t>
  </si>
  <si>
    <t>Արմեն</t>
  </si>
  <si>
    <t>Մանրակրկիտ և գեղեցիկ ներկայացրեց տեսականին։</t>
  </si>
  <si>
    <t>Շարունակել նույն կերպ։</t>
  </si>
  <si>
    <t>Շատ բարեհամբույր և հարազատ մոտեցում։ Մանրակրկիը ներկայացրեց սարքերը, ելնելով իմ նախասիրություններից։ Հարցման որոշ կետեր բաց է թողել, բայց դրանք չեն ազդում իմ` որպես գնորդի որոշման վրա։ Շատ գոհունակ եմ թե սպասարկումից և թե վաճառակետից։ Հաստատ ընկերներիցս որևէ մեկին կառաջարկեմ այցելել այս վաճառակետ։</t>
  </si>
  <si>
    <t>Կարելի է ունենալ մի փոքր ավելի մեծ վաճառակետ</t>
  </si>
  <si>
    <t>Սրահը մաքուր էր և առկա էր հաճելի միջավայր։ Աշխատակոցները բարեհամբույր էին և առաջարկեցին փորձել նոր սարքը iqos iluma one I</t>
  </si>
  <si>
    <t>Լավ սպասարկում բայց քիչ տրամադրված ինֆորմացիա սարքերի հնարավորությունների և նորությունների մասին։</t>
  </si>
  <si>
    <t>Ամեն ինչ կարգին էր, մաքուր կոկիկ, չունեմ դժգոհություն։</t>
  </si>
  <si>
    <t>Կարելի է ավելի շատ մանրամասներ տրամադրել։</t>
  </si>
  <si>
    <t>Ամեն ինչ շատ հասկանալի բացատրվել է ու ոչ մի խնդիր չի եղել։</t>
  </si>
  <si>
    <t>Թերություններ չեմ նկաատել</t>
  </si>
  <si>
    <t>Խոսեց մանրակրկիտ, բայց քիչ թեմաների մասին,որոնք էլ ավելի շատ տեղեկություն կտաին։</t>
  </si>
  <si>
    <t>Ավելի շատ տեղեկացնել համերի և կապսուլաների տարբերությունների մասին։</t>
  </si>
  <si>
    <t>Շատ գրագետ ու բանիմաց կերպով բացատրվեց ամեն ինչ մանրամասներով։ Գոհ եմ</t>
  </si>
  <si>
    <t>Լավ էր ամեն ինչ</t>
  </si>
  <si>
    <t>Հաճելի սպասարկում,տեսակների մասամբ ներկայացում։</t>
  </si>
  <si>
    <t>Ավելի շատ խոսել և ներկայացնել հաճախորդին սարքերը ֆիզիկապես։</t>
  </si>
  <si>
    <t>Ռոբերտ Հարությունյան</t>
  </si>
  <si>
    <t>29․10․25</t>
  </si>
  <si>
    <t>Վեներա Կարապետյան</t>
  </si>
  <si>
    <t>Ռոբերտ</t>
  </si>
  <si>
    <t>31․10․25</t>
  </si>
  <si>
    <t>Մալիբու</t>
  </si>
  <si>
    <t>Սարքերից տպավորված եմ քանի որ աշխատակիցը շատ լավ ներկայացրեց ինձ 3 տեսակ սարքերը ինչպես նաեւ պարկուճներ։</t>
  </si>
  <si>
    <t>Երբ մոտեցա սրահ, տեղում չէր, այդ պահին կողքի ծխախոտի ակցիա իրականացնող աղջիկն ասեց, որ հիմա կգա, 1-2 րոպե հետո եկավ։ Տպավորությունը շատ լավ էր հանգիստ ներկայացնում էր ամբողջ տեսականին</t>
  </si>
  <si>
    <t>ստանդի վրա ավելի շատ տեսականի ցուցադրել, ավելի շատ գունային տեսակներ, այս սրահում 3 գույներ էին</t>
  </si>
  <si>
    <t>Ավելի մանրամասն ներկայացնել, որ կարողանամ որպես հաճախորդ անտեղյակ բրենդին տիրապետել և այնքան հետաքրքիր, որ ես էլ ցանկություն հայտնեմ օգտագործռլու</t>
  </si>
  <si>
    <t>Միլենա</t>
  </si>
  <si>
    <t>Արտաշատ՝Տիտան</t>
  </si>
  <si>
    <t>Արմեն Խեչումյան</t>
  </si>
  <si>
    <t>Բարեհամբույր աշխատակից էր և ընդհանուր առմամբ տիրապետում էր աշխատանքի մանրամասներին</t>
  </si>
  <si>
    <t>Արսեն Սարգսյան</t>
  </si>
  <si>
    <t>Էմմա Սարգասյան</t>
  </si>
  <si>
    <t>Իսահակյան՝Sas</t>
  </si>
  <si>
    <t>Անմիջական էր և ինդիվիդուալ։ Հաճելի էր։</t>
  </si>
  <si>
    <t>Ընդհանուր տպավորությունը լավ էր</t>
  </si>
  <si>
    <t>Ոչ մի բան</t>
  </si>
  <si>
    <t>Կփորձեր խուսափել</t>
  </si>
  <si>
    <t>Շատ լավ էր</t>
  </si>
  <si>
    <t>13։34</t>
  </si>
  <si>
    <t>33։36</t>
  </si>
  <si>
    <t>Աշխատակիցը ասաց, որ կարող է միայն արժեքներին ծանոթանել, այլ տեղեկատվություն տրամադրել չի կարող, քանի որ ծխախոտ չեմ օգտագործում։</t>
  </si>
  <si>
    <t>Աշխատակիցը ասաց, որ կարող է տրամադրել միայն ծխախոտ օգտագործող անձին ներկայացնի պայմանները։</t>
  </si>
  <si>
    <t>12։25</t>
  </si>
  <si>
    <t>Աշխատակիցը ներկայացրեց նոր սարքի առավելությունները, նշեց արժեքները։</t>
  </si>
  <si>
    <t>11։42</t>
  </si>
  <si>
    <t>11։45</t>
  </si>
  <si>
    <t>Աշխատակիցը տեղեկացրեց, որ քանի որ ծխախոտ չեմ օգտագործում, մանրամասն ինֆորմացիա տրամադրել չի կարող։</t>
  </si>
  <si>
    <t>Աշխատակիցը չի ներակայացրել տեղեկատվությունը։</t>
  </si>
  <si>
    <t>15։30</t>
  </si>
  <si>
    <t>15։03</t>
  </si>
  <si>
    <t>Աշխատակիցը խնդրեց անձնագիրս նախքան սպասարկումը։</t>
  </si>
  <si>
    <t>Աշխատակիցը սկսեց ներկայացնել տեսակները ու արժեքները։</t>
  </si>
  <si>
    <t>Աշխատակիցը ասաց, որ հավելվալ ինֆորմացիա տրամադրել չի կարող , քանի որ ծխախոտ օգտագործողանձ չեմ հանդիսանում։</t>
  </si>
  <si>
    <t>Աշխատակիցը անձը հաստատող փաստաթուղթ չի ուզել ։</t>
  </si>
  <si>
    <t>Աշխատակիցը նշեց, որ չափահաս ու ծխախոտ օգտագործող անձնանց են տրամադրում տեղեկատվություն։</t>
  </si>
  <si>
    <t>Աշխատակիցը ծանոթացրեց սարքերի գներին և տեսակներին, հավելյալ տեղեկատվություն չտրամադրեց։</t>
  </si>
  <si>
    <t>11։51</t>
  </si>
  <si>
    <t>11։54</t>
  </si>
  <si>
    <t>Աշխատակիցը չի նշել ոչինչ։</t>
  </si>
  <si>
    <t>Աշխատակիցը ուղղակի սկսեց ներկայացնել տեսակները, թռուցիկ ներկայացրեց պայմանները, նշեց, որ ունեն կալյաններ մատչելի արժեքով։</t>
  </si>
  <si>
    <t>18։15</t>
  </si>
  <si>
    <t>18։20</t>
  </si>
  <si>
    <t>Աշխատակիցը չնշեց տեղեկատվությունը։</t>
  </si>
  <si>
    <t>20։30</t>
  </si>
  <si>
    <t>20։40</t>
  </si>
  <si>
    <t>Շատ տպավորված եմ, սրահի դիզայնով, հանգստությամբ, խաղաղ միջավայրով, գրագետ սպասարկմանաբ</t>
  </si>
  <si>
    <t>Ավելի շատ ինֆորմացնել բաղադրիչներից</t>
  </si>
  <si>
    <t>Աշխատակիցը սպասարկումը սկսելուց առաջ խնդրեց անձնագիրս։</t>
  </si>
  <si>
    <t>Աշխատակիցը տեղեկացրեց, որ չի կարողշատ տեղեկատվություն տրամադրել։</t>
  </si>
  <si>
    <t>Աշխատակիցը ասաց, որ քանի որ ծխող չեմ չի կարող մանրամասն ինֆորմացիա տրամադրել։</t>
  </si>
  <si>
    <t>19։23</t>
  </si>
  <si>
    <t>19։31</t>
  </si>
  <si>
    <t>Աշխատակիցը նշեց, որ ծխախոտ օգտագործող անձանց կարող է մանրամանս տեղեկատվություն տրամադրել։</t>
  </si>
  <si>
    <t>Աշխատակիցը ասաց, որ հավելվալ ինֆորմացիա տրամադրել չի կարող , քանի որ ծխախոտ օգտագործողանձ չեմ հանդիսանում, ներկայացրեց տեսակները ու արժեքները։</t>
  </si>
  <si>
    <t>14։30</t>
  </si>
  <si>
    <t>14։26</t>
  </si>
  <si>
    <t>Սպասարկումից բավարարված եմ մնացել։</t>
  </si>
  <si>
    <t>Լավ սպասարկում էր։</t>
  </si>
  <si>
    <t>ԱՇխատակիցը նշեց, որ միայն ծխող անձանց են տրամադրու ինֆորմացիա։</t>
  </si>
  <si>
    <t>16։51</t>
  </si>
  <si>
    <t>17։07</t>
  </si>
  <si>
    <t>Աշխատակիցը ասաց, որ սարքի հետ ինֆորմացիա չի տրամադրելու քանի որ չեմ հանդիսանում ծխախոտ օգտագործող անձ, ներայացրեց տեսակները, առանձնահատկությունները ու ծանոթացրեց արժեքներին։</t>
  </si>
  <si>
    <t>Անձը հաստատող փաստաթուղթ աշխատակիցը չի ուզել։</t>
  </si>
  <si>
    <t>13։47</t>
  </si>
  <si>
    <t>13։50</t>
  </si>
  <si>
    <t>Աշխատակիցը ներկաացրեց սարքի ֆունկցիաները,նշեց առանձնահատկությունները, առավելությունները։</t>
  </si>
  <si>
    <t>Աշխատակիցը հարցրեց նախկինում փորձել եմ սարքը թե ոչ։</t>
  </si>
  <si>
    <t>Աշխատակիցը հարցրեց թե որ տեսակից եմ փորձել։</t>
  </si>
  <si>
    <t>14։44</t>
  </si>
  <si>
    <t>Աշխատակիցը խնդրեց ներկայացնեմ</t>
  </si>
  <si>
    <t>Աշխատակիցը նախասիրությունների մասին ոչինչ չի հարցրել։</t>
  </si>
  <si>
    <t>15։17</t>
  </si>
  <si>
    <t>15։25</t>
  </si>
  <si>
    <t>Աշխատակիցը անձը հաստատող փաստաթուղթ չի հարցրել։</t>
  </si>
  <si>
    <t>Աշխատակիցը անձնագիր չուզեց։</t>
  </si>
  <si>
    <t>Աշխատակիցը անմիջապես սկսեց սպասարկումը, առանց անձը հաստատող փաստաթղթի։</t>
  </si>
  <si>
    <t>Աշխատակիցը խնդրեց ներկայացնել անձը հաստատող փաստաթուղթ։</t>
  </si>
  <si>
    <t>Աշխատակիցը չառանձնացրեց տեսակների ֆունկցիաները։</t>
  </si>
  <si>
    <t>14։10</t>
  </si>
  <si>
    <t>14։20</t>
  </si>
  <si>
    <t>Աշխատակիցը հարցրեց սարքերին ծանոթ եմ թե ոչ։</t>
  </si>
  <si>
    <t>Աշխատակիցը հարցրեց որ տեսակին եմ սարքի ծանոթ։</t>
  </si>
  <si>
    <t>Աշխատակիցը ներկայացրեց սարքերը, նշեց ֆունկցիոնալ տարբերությունները ու առավելությոնները։</t>
  </si>
  <si>
    <t>15։08</t>
  </si>
  <si>
    <t>Աշխատակիցը հարցրեց օգտագործել եմ սարքերին երբևէ։</t>
  </si>
  <si>
    <t>Աշխատակիցը ներկայացրեց մանրամասն տեղեկատվություն սարքերից, խոսեց առավելություններից և առանձնահատկություններից։</t>
  </si>
  <si>
    <t>14։56</t>
  </si>
  <si>
    <t>15։02</t>
  </si>
  <si>
    <t>Լավ էր</t>
  </si>
  <si>
    <t>Փորձեց մանրամասն տեղեկությւոն տալ</t>
  </si>
  <si>
    <t>Աշխատակիցը չի հարցրել ինձ արդյոք սարքերին ծանոթ եմ թե ոչ։</t>
  </si>
  <si>
    <t>Աշխատակիցը հստա կներկայացրեց և առանձնացրեց սարքերի ֆունկցիաները։</t>
  </si>
  <si>
    <t>Աշխատակիցը հարցրեց ինչ ծխախոտ եմ օգտագործում, քանի հատ եմ ծխում։</t>
  </si>
  <si>
    <t>Աշխատակիցը ներկայացրեց սարքի ֆունկիցանրեը, առանձնացրեց առավելությւոնները՝ համեմատելով ծխախոտի հետ։</t>
  </si>
  <si>
    <t>Աշխատակիցը հարցրեց նախկիում ծրագրում գրանցված եղել եմ թե ոչ։</t>
  </si>
  <si>
    <t>Աշխատակիցը հարցրեց ինչ նպատակով եմ ուզում սկսել օգտագործել սարքը։</t>
  </si>
  <si>
    <t>Աշխատակիցը հարցրեց օգտագործել եմ արդյոք սարքը երբևէ։</t>
  </si>
  <si>
    <t>Աշխատակիցը ներկայացրեց սարքի առավելությունները՝ համեմատելով ծխախոտի հետ։</t>
  </si>
  <si>
    <t>21։06</t>
  </si>
  <si>
    <t>21։15</t>
  </si>
  <si>
    <t>Աշխատակիցը հարցրեց ինձ սարքերին ծանոթ եմ թե ոչ, օգտագործել եմ թե ոչ։</t>
  </si>
  <si>
    <t>Աշխատակիցը ներկայցրեց սարքերի տեսակները, առանձնացրեց ֆունկցիաները, արժեքները, շեշտադրեց առավելությունները։</t>
  </si>
  <si>
    <t>20։04</t>
  </si>
  <si>
    <t>20։35</t>
  </si>
  <si>
    <t>Աշխատակիցը հարցրեց նախորդ սարքի տեսակներին ծանոթ եմ թե ոչ։</t>
  </si>
  <si>
    <t>Աշխատակիցը խոսեց սարքի ֆունկցիաների մասին, ներկայացրեց նորություններն ու առավելությունները։</t>
  </si>
  <si>
    <t>13։49</t>
  </si>
  <si>
    <t>14։16</t>
  </si>
  <si>
    <t>Աշխատակիցը հարցրեց ինձ արդյոք սարքերին ծանոթ եմ թե ոչ։</t>
  </si>
  <si>
    <t>Աշխատակիցը կարիքներս չբացահայտեց, նախասիրություններից չհարցրեց։</t>
  </si>
  <si>
    <t>Աշխատակիցը ներկայացրել է սարքերը, առանձնացրել ֆունկցիաները և առավելությունները։</t>
  </si>
  <si>
    <t>15։01</t>
  </si>
  <si>
    <t>Աշխատակիցը հարցրեց սարքը փորձել եմ, թե ոչ։</t>
  </si>
  <si>
    <t>Աշխատակիցը չհարցրեց իմ նախասիրությունների մասին։</t>
  </si>
  <si>
    <t>Աշխատակիցը հստակ կերպով ներկացրեց սարքերի ֆունկուցիոնալ առանձնահատկությունները։</t>
  </si>
  <si>
    <t>Աշխատակիցը խնդրել է ներկայացնել անձնագիրս։</t>
  </si>
  <si>
    <t>Աշխատակիցը չի խնդրեց անձնագիր։</t>
  </si>
  <si>
    <t>Աշխատակիցը ասաց, որ ներկայացնեմ անձնագիր։</t>
  </si>
  <si>
    <t>Աշխատակիցը անձը հաստատող փաստաթուղթ աշխատակիցը չի ուզել։</t>
  </si>
  <si>
    <t>Աշխատակիցը ասաց, որ անձը հաստատող փաստաթուղթ ներկայացնեմ։</t>
  </si>
  <si>
    <t>Աշխատակիցը չուզեց անձնագիր։</t>
  </si>
  <si>
    <t>Աշխատակիցը չի խնդրել անձնագիր։</t>
  </si>
  <si>
    <t>19։46</t>
  </si>
  <si>
    <t>20։21</t>
  </si>
  <si>
    <t>17։46</t>
  </si>
  <si>
    <t>17։56</t>
  </si>
  <si>
    <t>18։46</t>
  </si>
  <si>
    <t>19։10</t>
  </si>
  <si>
    <t>19։25</t>
  </si>
  <si>
    <t>19։37</t>
  </si>
  <si>
    <t>19։51</t>
  </si>
  <si>
    <t>20։00</t>
  </si>
  <si>
    <t>12։03</t>
  </si>
  <si>
    <t>12։37</t>
  </si>
  <si>
    <t>18։17</t>
  </si>
  <si>
    <t>18։23</t>
  </si>
  <si>
    <t>19։07</t>
  </si>
  <si>
    <t>15։28</t>
  </si>
  <si>
    <t>15։51</t>
  </si>
  <si>
    <t>13։13</t>
  </si>
  <si>
    <t>13։26</t>
  </si>
  <si>
    <t>21։40</t>
  </si>
  <si>
    <t>21։46</t>
  </si>
  <si>
    <t>16։23</t>
  </si>
  <si>
    <t>15։04</t>
  </si>
  <si>
    <t>15։19</t>
  </si>
  <si>
    <t>14։47</t>
  </si>
  <si>
    <t>17։25</t>
  </si>
  <si>
    <t>17։36</t>
  </si>
  <si>
    <t>15։46</t>
  </si>
  <si>
    <t>16։04</t>
  </si>
  <si>
    <t>17։17</t>
  </si>
  <si>
    <t>17։23</t>
  </si>
  <si>
    <t>12։00</t>
  </si>
  <si>
    <t>12։18</t>
  </si>
  <si>
    <t>12։24</t>
  </si>
  <si>
    <t>12։34</t>
  </si>
  <si>
    <t>13։32</t>
  </si>
  <si>
    <t>13։20</t>
  </si>
  <si>
    <t>13։25</t>
  </si>
  <si>
    <t>13։36</t>
  </si>
  <si>
    <t>17։20</t>
  </si>
  <si>
    <t>17։40</t>
  </si>
  <si>
    <t>Երևան մոլ</t>
  </si>
  <si>
    <t>Հալաբյան Sas FC</t>
  </si>
  <si>
    <t>Իսահակյան SAS</t>
  </si>
  <si>
    <t>Flagman</t>
  </si>
  <si>
    <t>Partner</t>
  </si>
  <si>
    <t>Կապան Pr</t>
  </si>
  <si>
    <t>Հրազդան YC</t>
  </si>
  <si>
    <t>Գյումրի ALK</t>
  </si>
  <si>
    <t>Գյումրի OK</t>
  </si>
  <si>
    <t>Դիլիջան TS</t>
  </si>
  <si>
    <t>Վայք LID</t>
  </si>
  <si>
    <t>Արմավիր ISSO</t>
  </si>
  <si>
    <t>Արտաշատ TIT</t>
  </si>
  <si>
    <t>Արտաշատ Green</t>
  </si>
  <si>
    <t>Information</t>
  </si>
  <si>
    <t>3 sub criteria</t>
  </si>
  <si>
    <t>ենթաբաժիններ</t>
  </si>
  <si>
    <t>Սցենարներ</t>
  </si>
  <si>
    <t>YAP_BR5</t>
  </si>
  <si>
    <t>Նպատակը</t>
  </si>
  <si>
    <t>Հարցաթերթի բաժինների</t>
  </si>
  <si>
    <t>Առանձին հարցերի</t>
  </si>
  <si>
    <t>Հարցաթերթի կառուցվածք</t>
  </si>
  <si>
    <t>հարցերի քանակ։ 4</t>
  </si>
  <si>
    <t>կշիռ։ 10-սյուն E</t>
  </si>
  <si>
    <t>հարցերի կշիռները՝ սյուն F</t>
  </si>
  <si>
    <t>օր՝</t>
  </si>
  <si>
    <t>Հիմնական Վերլուծական Գործառույթներ</t>
  </si>
  <si>
    <t>Վերլուծություն ըստ Բաժինների</t>
  </si>
  <si>
    <t>Վերլուծություն ըստ Հարցերի</t>
  </si>
  <si>
    <t>Վերլուծություն ըստ սցենարների</t>
  </si>
  <si>
    <t>Վերլուծություն ըստ առանձին Վաճառակետի, հետևյալ չափանիշներով</t>
  </si>
  <si>
    <t>Համեմատական հաշվետվություններ</t>
  </si>
  <si>
    <t>Առաջադրանքի վերջնարդյունք</t>
  </si>
  <si>
    <t>Վիզուալիզացիաներ</t>
  </si>
  <si>
    <r>
      <t>105 այցելության</t>
    </r>
    <r>
      <rPr>
        <sz val="10"/>
        <color rgb="FF0F1115"/>
        <rFont val="Arial"/>
        <family val="2"/>
        <charset val="204"/>
      </rPr>
      <t> ամբողջական վերլուծություն</t>
    </r>
  </si>
  <si>
    <r>
      <t>21 վաճառակետի</t>
    </r>
    <r>
      <rPr>
        <sz val="10"/>
        <color rgb="FF0F1115"/>
        <rFont val="Arial"/>
        <family val="2"/>
        <charset val="204"/>
      </rPr>
      <t> անհատական գնահատական</t>
    </r>
  </si>
  <si>
    <r>
      <t>Բոլոր բաժինների</t>
    </r>
    <r>
      <rPr>
        <sz val="10"/>
        <color rgb="FF0F1115"/>
        <rFont val="Arial"/>
        <family val="2"/>
        <charset val="204"/>
      </rPr>
      <t> մանրամասն վերլուծություն</t>
    </r>
  </si>
  <si>
    <r>
      <t>Կշիռների հաշվառմամբ</t>
    </r>
    <r>
      <rPr>
        <sz val="10"/>
        <color rgb="FF0F1115"/>
        <rFont val="Arial"/>
        <family val="2"/>
        <charset val="204"/>
      </rPr>
      <t> գնահատական</t>
    </r>
  </si>
  <si>
    <t>Վաճառակետ</t>
  </si>
  <si>
    <t>Հարցաթերթի բաժիններ</t>
  </si>
  <si>
    <t>Հարցաթերթերի sheet-երը գունավորած են վարդագույն, իսկ արդեն իսկ պատրաստ տվյալների բազաները՝ ըստ սցենարների՝ երկնագույնով։</t>
  </si>
  <si>
    <t>NOTE:</t>
  </si>
  <si>
    <t>այս պահին չի աշխատում</t>
  </si>
  <si>
    <t>Ստեղծել live dashboard, որը կարտացոլի 21 վաճառակետում այս պահին կատարված 105 այցելության (օր՝ 5 այց × 21 վաճառակետ) տվյալները, ինչպես նաև հնարավոր կլինի ավելացնել ընթացիկ կատարվողները և կտրամադրի դինամիկ վերլուծություն/ վիզուալիզացի ըստ հետևյալ մակարդակների</t>
  </si>
  <si>
    <t>Վաճառակետերի</t>
  </si>
  <si>
    <t>մեզ մոտ կարևոր ենթախումբը սցենարն է (BR1-BR5): բազաները կառուցված են ըստ սցենարների։ Արդյունքում մենք ըստ յուրաքանչյուր սցենարի պետք է ստանանք ընդհանուր կատարողականի գնահատում, այսինքն բոլոր հարցերով ստացված փաստաց գնահատականների գումարը, ինչպես նաև յուրաքանչյուր սցենարի բազայից պետք է դուրս բերենք ընդհանուր, ըստ հարցերի, ըստ բաժինների գնահատականները ըստ վաճառակետերի։</t>
  </si>
  <si>
    <t>Օրինակ Կապանը՝ այս վաճառակետում կիրառվել են բոլոր 5 սցենարները։ Մենք պետք է դուրս բերենք Կապանի կատարողականը %-ով ըստ յուրաքանչյուր սցենարի ընդհանուր, ինչպես նաև բաժինների և յուրաքանչյուր բաժնում ենթահարցերի։</t>
  </si>
  <si>
    <t>կատարողականը հաշվարկվում է ըստ հարցաթերթերի կշիռների (երկնագույն ֆայլեր)</t>
  </si>
  <si>
    <t>dashboard, որը հնարավոր կլինի դինամիկ համալրել նոր տվյալներով և դինամիկ վերլուծությունը ստանալ ավտոմատ կերպ։ Անհրաժեշտ է տրամադրել հետագա օգտագործման manual</t>
  </si>
  <si>
    <t>այս պահին ունենք և անհրաժեշտ է ստանալ վերլուծություն ըստ՝</t>
  </si>
  <si>
    <t>Համեմատական հաշվետվություն ասելով՝</t>
  </si>
  <si>
    <t>հասկանում ենք, որ բոլոր մակարդակներում անհրաժեշտ է փոփոխականները միմյանց հետ համեմատելու, տարբերությունները տեսնելու ինտերակտիվ feature լինի։ Օրինակ, Կապանը Մեգամոլի, կամ հոկտեմբերը, նոյեմբերի և այլն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</si>
</sst>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1" x14ac:knownFonts="1">
    <font>
      <sz val="11"/>
      <color theme="1"/>
      <name val="Calibri"/>
      <family val="2"/>
      <scheme val="minor"/>
    </font>
    <font>
      <b/>
      <sz val="17.5"/>
      <color rgb="FF000000"/>
      <name val="Times New Roman"/>
      <family val="1"/>
      <charset val="204"/>
    </font>
    <font>
      <b/>
      <sz val="10.5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b/>
      <sz val="10.5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0"/>
      <color theme="1"/>
      <name val="Tahoma"/>
      <family val="2"/>
      <charset val="204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  <charset val="204"/>
    </font>
    <font>
      <b/>
      <sz val="17.5"/>
      <color rgb="FF000000"/>
      <name val="Times New Roman"/>
      <family val="1"/>
    </font>
    <font>
      <sz val="11"/>
      <color theme="1"/>
      <name val="Times New Roman"/>
      <family val="1"/>
    </font>
    <font>
      <b/>
      <sz val="10.5"/>
      <color rgb="FF000000"/>
      <name val="Times New Roman"/>
      <family val="1"/>
    </font>
    <font>
      <b/>
      <sz val="14"/>
      <color rgb="FF000000"/>
      <name val="Times New Roman"/>
      <family val="1"/>
    </font>
    <font>
      <b/>
      <sz val="10"/>
      <color theme="1"/>
      <name val="Times New Roman"/>
      <family val="1"/>
    </font>
    <font>
      <b/>
      <sz val="13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.5"/>
      <name val="Times New Roman"/>
      <family val="1"/>
    </font>
    <font>
      <b/>
      <sz val="11"/>
      <color theme="1"/>
      <name val="Calibri"/>
      <family val="2"/>
      <charset val="204"/>
      <scheme val="minor"/>
    </font>
    <font>
      <sz val="10.5"/>
      <color rgb="FF000000"/>
      <name val="Times New Roman"/>
      <family val="1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.5"/>
      <color rgb="FF00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12"/>
      <color rgb="FF000000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b/>
      <sz val="16"/>
      <color rgb="FF000000"/>
      <name val="Calibri"/>
      <family val="2"/>
      <charset val="204"/>
      <scheme val="minor"/>
    </font>
    <font>
      <sz val="10.5"/>
      <color rgb="FF000000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4"/>
      <color rgb="FF000000"/>
      <name val="Calibri"/>
      <family val="2"/>
      <charset val="204"/>
      <scheme val="minor"/>
    </font>
    <font>
      <sz val="14"/>
      <color rgb="FF000000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b/>
      <sz val="17.5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0.5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7.5"/>
      <color rgb="FF00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3"/>
      <color rgb="FF000000"/>
      <name val="Calibri"/>
      <family val="2"/>
      <charset val="204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rgb="FF000000"/>
      <name val="Calibri"/>
      <family val="2"/>
      <charset val="204"/>
      <scheme val="minor"/>
    </font>
    <font>
      <b/>
      <sz val="12"/>
      <color rgb="FF000000"/>
      <name val="Calibri"/>
      <family val="2"/>
      <scheme val="minor"/>
    </font>
    <font>
      <sz val="12"/>
      <color theme="9" tint="-0.499984740745262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Times New Roman"/>
      <family val="1"/>
      <charset val="204"/>
    </font>
    <font>
      <b/>
      <i/>
      <sz val="11"/>
      <color theme="0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b/>
      <sz val="12"/>
      <color theme="5" tint="0.79998168889431442"/>
      <name val="Calibri"/>
      <family val="2"/>
      <scheme val="minor"/>
    </font>
    <font>
      <sz val="11"/>
      <color theme="5" tint="0.79998168889431442"/>
      <name val="Calibri"/>
      <family val="2"/>
      <scheme val="minor"/>
    </font>
    <font>
      <sz val="10"/>
      <color rgb="FF434343"/>
      <name val="Roboto"/>
    </font>
    <font>
      <i/>
      <sz val="11"/>
      <color theme="1"/>
      <name val="Calibri"/>
      <family val="2"/>
      <scheme val="minor"/>
    </font>
    <font>
      <b/>
      <sz val="12"/>
      <color theme="1"/>
      <name val="Arial"/>
      <family val="2"/>
      <charset val="204"/>
    </font>
    <font>
      <b/>
      <sz val="12"/>
      <color theme="0"/>
      <name val="Arial"/>
      <family val="2"/>
      <charset val="204"/>
    </font>
    <font>
      <b/>
      <sz val="8"/>
      <color theme="0"/>
      <name val="Arial"/>
      <family val="2"/>
      <charset val="204"/>
    </font>
    <font>
      <sz val="11"/>
      <color theme="1"/>
      <name val="Arial"/>
      <family val="2"/>
      <charset val="204"/>
    </font>
    <font>
      <b/>
      <sz val="13"/>
      <color rgb="FF0F1115"/>
      <name val="Arial"/>
      <family val="2"/>
      <charset val="204"/>
    </font>
    <font>
      <sz val="10"/>
      <color rgb="FF0F1115"/>
      <name val="Arial"/>
      <family val="2"/>
      <charset val="204"/>
    </font>
    <font>
      <b/>
      <i/>
      <sz val="10"/>
      <color rgb="FF0F1115"/>
      <name val="Arial"/>
      <family val="2"/>
      <charset val="204"/>
    </font>
    <font>
      <sz val="11"/>
      <color rgb="FF0F1115"/>
      <name val="Arial"/>
      <family val="2"/>
      <charset val="204"/>
    </font>
    <font>
      <b/>
      <sz val="12"/>
      <color rgb="FF0F1115"/>
      <name val="Arial"/>
      <family val="2"/>
      <charset val="204"/>
    </font>
    <font>
      <b/>
      <sz val="11"/>
      <color rgb="FF50A14F"/>
      <name val="Arial"/>
      <family val="2"/>
      <charset val="204"/>
    </font>
    <font>
      <b/>
      <i/>
      <sz val="9"/>
      <color rgb="FF50A14F"/>
      <name val="Arial"/>
      <family val="2"/>
      <charset val="204"/>
    </font>
    <font>
      <b/>
      <i/>
      <sz val="10"/>
      <color theme="9" tint="-0.249977111117893"/>
      <name val="Arial"/>
      <family val="2"/>
      <charset val="204"/>
    </font>
    <font>
      <b/>
      <i/>
      <sz val="9"/>
      <color theme="9" tint="-0.249977111117893"/>
      <name val="Arial"/>
      <family val="2"/>
      <charset val="204"/>
    </font>
    <font>
      <b/>
      <sz val="11"/>
      <color rgb="FFC00000"/>
      <name val="Calibri"/>
      <family val="2"/>
      <charset val="204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B8E8DB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D7D7D7"/>
        <bgColor indexed="64"/>
      </patternFill>
    </fill>
    <fill>
      <patternFill patternType="solid">
        <fgColor rgb="FFFFB7DB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0000"/>
        <bgColor indexed="64"/>
      </patternFill>
    </fill>
  </fills>
  <borders count="3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CCCCCC"/>
      </left>
      <right style="medium">
        <color rgb="FFFFFFFF"/>
      </right>
      <top style="medium">
        <color rgb="FFF8F9FA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F8F9FA"/>
      </top>
      <bottom style="medium">
        <color rgb="FFF8F9FA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20" fillId="4" borderId="0" applyNumberFormat="0" applyBorder="0" applyAlignment="0" applyProtection="0"/>
  </cellStyleXfs>
  <cellXfs count="475">
    <xf numFmtId="0" fontId="0" fillId="0" borderId="0" xfId="0"/>
    <xf numFmtId="0" fontId="0" fillId="2" borderId="0" xfId="0" applyFill="1"/>
    <xf numFmtId="0" fontId="0" fillId="0" borderId="0" xfId="0" applyAlignment="1">
      <alignment shrinkToFit="1"/>
    </xf>
    <xf numFmtId="0" fontId="2" fillId="2" borderId="5" xfId="0" applyFont="1" applyFill="1" applyBorder="1" applyAlignment="1">
      <alignment vertical="center" wrapText="1"/>
    </xf>
    <xf numFmtId="0" fontId="0" fillId="0" borderId="5" xfId="0" applyBorder="1" applyAlignment="1">
      <alignment horizontal="center" vertical="center"/>
    </xf>
    <xf numFmtId="0" fontId="2" fillId="2" borderId="0" xfId="0" applyFont="1" applyFill="1" applyAlignment="1">
      <alignment vertical="center" wrapText="1"/>
    </xf>
    <xf numFmtId="0" fontId="9" fillId="0" borderId="0" xfId="0" applyFont="1"/>
    <xf numFmtId="0" fontId="9" fillId="2" borderId="0" xfId="0" applyFont="1" applyFill="1"/>
    <xf numFmtId="0" fontId="9" fillId="0" borderId="0" xfId="0" applyFont="1" applyAlignment="1">
      <alignment horizontal="center" vertical="center"/>
    </xf>
    <xf numFmtId="9" fontId="9" fillId="2" borderId="0" xfId="1" applyFont="1" applyFill="1"/>
    <xf numFmtId="9" fontId="9" fillId="2" borderId="5" xfId="1" applyFont="1" applyFill="1" applyBorder="1"/>
    <xf numFmtId="0" fontId="4" fillId="2" borderId="5" xfId="0" applyFont="1" applyFill="1" applyBorder="1" applyAlignment="1">
      <alignment vertical="center" wrapText="1"/>
    </xf>
    <xf numFmtId="0" fontId="5" fillId="2" borderId="5" xfId="0" applyFont="1" applyFill="1" applyBorder="1" applyAlignment="1">
      <alignment vertical="center" wrapText="1"/>
    </xf>
    <xf numFmtId="9" fontId="1" fillId="2" borderId="5" xfId="1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9" fontId="9" fillId="2" borderId="0" xfId="1" applyFont="1" applyFill="1" applyBorder="1"/>
    <xf numFmtId="9" fontId="9" fillId="0" borderId="0" xfId="1" applyFont="1"/>
    <xf numFmtId="0" fontId="11" fillId="0" borderId="0" xfId="0" applyFont="1"/>
    <xf numFmtId="0" fontId="12" fillId="2" borderId="5" xfId="0" applyFont="1" applyFill="1" applyBorder="1" applyAlignment="1">
      <alignment vertical="center" wrapText="1"/>
    </xf>
    <xf numFmtId="9" fontId="10" fillId="2" borderId="5" xfId="1" applyFont="1" applyFill="1" applyBorder="1" applyAlignment="1">
      <alignment vertical="center" wrapText="1"/>
    </xf>
    <xf numFmtId="9" fontId="11" fillId="2" borderId="5" xfId="1" applyFont="1" applyFill="1" applyBorder="1"/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6" fillId="2" borderId="5" xfId="0" applyFont="1" applyFill="1" applyBorder="1" applyAlignment="1">
      <alignment vertical="center" wrapText="1"/>
    </xf>
    <xf numFmtId="0" fontId="17" fillId="2" borderId="5" xfId="0" applyFont="1" applyFill="1" applyBorder="1" applyAlignment="1">
      <alignment vertical="center" wrapText="1"/>
    </xf>
    <xf numFmtId="0" fontId="11" fillId="2" borderId="0" xfId="0" applyFont="1" applyFill="1"/>
    <xf numFmtId="9" fontId="11" fillId="2" borderId="0" xfId="1" applyFont="1" applyFill="1"/>
    <xf numFmtId="0" fontId="0" fillId="0" borderId="5" xfId="0" applyBorder="1"/>
    <xf numFmtId="0" fontId="10" fillId="3" borderId="5" xfId="0" applyFont="1" applyFill="1" applyBorder="1" applyAlignment="1">
      <alignment vertical="center" wrapText="1"/>
    </xf>
    <xf numFmtId="0" fontId="2" fillId="2" borderId="5" xfId="0" applyFont="1" applyFill="1" applyBorder="1" applyAlignment="1">
      <alignment horizontal="center" vertical="center" wrapText="1"/>
    </xf>
    <xf numFmtId="9" fontId="9" fillId="0" borderId="5" xfId="0" applyNumberFormat="1" applyFont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9" fontId="1" fillId="2" borderId="5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9" fontId="9" fillId="2" borderId="5" xfId="1" applyFont="1" applyFill="1" applyBorder="1" applyAlignment="1">
      <alignment horizontal="center"/>
    </xf>
    <xf numFmtId="9" fontId="9" fillId="2" borderId="0" xfId="1" applyFont="1" applyFill="1" applyAlignment="1">
      <alignment horizontal="center"/>
    </xf>
    <xf numFmtId="9" fontId="9" fillId="0" borderId="5" xfId="0" applyNumberFormat="1" applyFont="1" applyBorder="1" applyAlignment="1">
      <alignment horizontal="center"/>
    </xf>
    <xf numFmtId="9" fontId="9" fillId="2" borderId="5" xfId="0" applyNumberFormat="1" applyFont="1" applyFill="1" applyBorder="1" applyAlignment="1">
      <alignment horizontal="center"/>
    </xf>
    <xf numFmtId="0" fontId="9" fillId="2" borderId="5" xfId="0" applyFont="1" applyFill="1" applyBorder="1"/>
    <xf numFmtId="0" fontId="9" fillId="0" borderId="5" xfId="0" applyFont="1" applyBorder="1"/>
    <xf numFmtId="9" fontId="9" fillId="2" borderId="0" xfId="0" applyNumberFormat="1" applyFont="1" applyFill="1" applyAlignment="1">
      <alignment horizontal="center"/>
    </xf>
    <xf numFmtId="9" fontId="19" fillId="2" borderId="5" xfId="1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vertical="center" wrapText="1"/>
    </xf>
    <xf numFmtId="0" fontId="11" fillId="0" borderId="5" xfId="0" applyFont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21" fillId="0" borderId="0" xfId="0" applyFont="1"/>
    <xf numFmtId="0" fontId="21" fillId="2" borderId="0" xfId="0" applyFont="1" applyFill="1"/>
    <xf numFmtId="9" fontId="21" fillId="2" borderId="0" xfId="0" applyNumberFormat="1" applyFont="1" applyFill="1"/>
    <xf numFmtId="0" fontId="21" fillId="0" borderId="0" xfId="0" applyFont="1" applyAlignment="1">
      <alignment horizontal="center" vertical="center"/>
    </xf>
    <xf numFmtId="9" fontId="21" fillId="2" borderId="5" xfId="1" applyFont="1" applyFill="1" applyBorder="1" applyAlignment="1">
      <alignment horizontal="center" vertical="center"/>
    </xf>
    <xf numFmtId="0" fontId="24" fillId="2" borderId="5" xfId="0" applyFont="1" applyFill="1" applyBorder="1" applyAlignment="1">
      <alignment vertical="center" wrapText="1"/>
    </xf>
    <xf numFmtId="0" fontId="24" fillId="0" borderId="5" xfId="0" applyFont="1" applyBorder="1" applyAlignment="1">
      <alignment vertical="center" wrapText="1"/>
    </xf>
    <xf numFmtId="0" fontId="27" fillId="2" borderId="5" xfId="0" applyFont="1" applyFill="1" applyBorder="1" applyAlignment="1">
      <alignment vertical="center" wrapText="1"/>
    </xf>
    <xf numFmtId="0" fontId="24" fillId="2" borderId="5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9" fontId="28" fillId="2" borderId="5" xfId="1" applyFont="1" applyFill="1" applyBorder="1" applyAlignment="1">
      <alignment horizontal="center" vertical="center"/>
    </xf>
    <xf numFmtId="0" fontId="29" fillId="5" borderId="5" xfId="0" applyFont="1" applyFill="1" applyBorder="1" applyAlignment="1">
      <alignment vertical="center" wrapText="1"/>
    </xf>
    <xf numFmtId="9" fontId="21" fillId="2" borderId="0" xfId="1" applyFont="1" applyFill="1" applyBorder="1" applyAlignment="1">
      <alignment horizontal="center" vertical="center"/>
    </xf>
    <xf numFmtId="0" fontId="29" fillId="5" borderId="7" xfId="0" applyFont="1" applyFill="1" applyBorder="1" applyAlignment="1">
      <alignment vertical="center" wrapText="1"/>
    </xf>
    <xf numFmtId="0" fontId="29" fillId="5" borderId="9" xfId="0" applyFont="1" applyFill="1" applyBorder="1" applyAlignment="1">
      <alignment vertical="center" wrapText="1"/>
    </xf>
    <xf numFmtId="0" fontId="25" fillId="0" borderId="0" xfId="0" applyFont="1" applyAlignment="1">
      <alignment vertical="top" wrapText="1"/>
    </xf>
    <xf numFmtId="9" fontId="28" fillId="2" borderId="10" xfId="1" applyFont="1" applyFill="1" applyBorder="1" applyAlignment="1">
      <alignment horizontal="center" vertical="center"/>
    </xf>
    <xf numFmtId="0" fontId="28" fillId="0" borderId="5" xfId="0" applyFont="1" applyBorder="1" applyAlignment="1">
      <alignment horizontal="left" vertical="top" wrapText="1"/>
    </xf>
    <xf numFmtId="0" fontId="25" fillId="0" borderId="5" xfId="0" applyFont="1" applyBorder="1" applyAlignment="1">
      <alignment horizontal="left" vertical="top" wrapText="1"/>
    </xf>
    <xf numFmtId="0" fontId="25" fillId="2" borderId="5" xfId="0" applyFont="1" applyFill="1" applyBorder="1" applyAlignment="1">
      <alignment vertical="center" wrapText="1"/>
    </xf>
    <xf numFmtId="0" fontId="24" fillId="2" borderId="5" xfId="0" applyFont="1" applyFill="1" applyBorder="1" applyAlignment="1">
      <alignment horizontal="left" vertical="top" wrapText="1"/>
    </xf>
    <xf numFmtId="0" fontId="28" fillId="0" borderId="0" xfId="0" applyFont="1" applyAlignment="1">
      <alignment horizontal="left" vertical="center" wrapText="1"/>
    </xf>
    <xf numFmtId="0" fontId="21" fillId="0" borderId="0" xfId="0" applyFont="1" applyAlignment="1">
      <alignment horizontal="left" vertical="center" wrapText="1"/>
    </xf>
    <xf numFmtId="0" fontId="21" fillId="2" borderId="0" xfId="0" applyFont="1" applyFill="1" applyAlignment="1">
      <alignment horizontal="left" vertical="center" wrapText="1"/>
    </xf>
    <xf numFmtId="0" fontId="24" fillId="2" borderId="5" xfId="0" applyFont="1" applyFill="1" applyBorder="1" applyAlignment="1">
      <alignment horizontal="left" vertical="center" wrapText="1"/>
    </xf>
    <xf numFmtId="0" fontId="30" fillId="5" borderId="5" xfId="0" applyFont="1" applyFill="1" applyBorder="1" applyAlignment="1">
      <alignment vertical="center" wrapText="1"/>
    </xf>
    <xf numFmtId="0" fontId="24" fillId="2" borderId="7" xfId="0" applyFont="1" applyFill="1" applyBorder="1" applyAlignment="1">
      <alignment vertical="center" wrapText="1"/>
    </xf>
    <xf numFmtId="9" fontId="23" fillId="6" borderId="5" xfId="1" applyFont="1" applyFill="1" applyBorder="1" applyAlignment="1">
      <alignment horizontal="center" vertical="center"/>
    </xf>
    <xf numFmtId="0" fontId="24" fillId="0" borderId="7" xfId="0" applyFont="1" applyBorder="1" applyAlignment="1">
      <alignment vertical="center" wrapText="1"/>
    </xf>
    <xf numFmtId="0" fontId="22" fillId="2" borderId="0" xfId="0" applyFont="1" applyFill="1" applyAlignment="1">
      <alignment horizontal="center" vertical="center" wrapText="1"/>
    </xf>
    <xf numFmtId="0" fontId="24" fillId="2" borderId="0" xfId="0" applyFont="1" applyFill="1" applyAlignment="1">
      <alignment vertical="center" wrapText="1"/>
    </xf>
    <xf numFmtId="0" fontId="21" fillId="2" borderId="0" xfId="0" applyFont="1" applyFill="1" applyAlignment="1">
      <alignment horizontal="center"/>
    </xf>
    <xf numFmtId="0" fontId="21" fillId="2" borderId="0" xfId="0" applyFont="1" applyFill="1" applyAlignment="1">
      <alignment horizontal="center" vertical="center"/>
    </xf>
    <xf numFmtId="0" fontId="26" fillId="5" borderId="5" xfId="0" applyFont="1" applyFill="1" applyBorder="1" applyAlignment="1">
      <alignment vertical="center" wrapText="1"/>
    </xf>
    <xf numFmtId="0" fontId="31" fillId="0" borderId="6" xfId="0" applyFont="1" applyBorder="1" applyAlignment="1">
      <alignment horizontal="left" vertical="center" wrapText="1"/>
    </xf>
    <xf numFmtId="9" fontId="33" fillId="2" borderId="0" xfId="1" applyFont="1" applyFill="1" applyBorder="1" applyAlignment="1">
      <alignment horizontal="center" vertical="center" wrapText="1"/>
    </xf>
    <xf numFmtId="0" fontId="34" fillId="0" borderId="5" xfId="0" applyFont="1" applyBorder="1" applyAlignment="1">
      <alignment vertical="center" wrapText="1"/>
    </xf>
    <xf numFmtId="0" fontId="35" fillId="2" borderId="0" xfId="0" applyFont="1" applyFill="1" applyAlignment="1">
      <alignment vertical="center" wrapText="1"/>
    </xf>
    <xf numFmtId="0" fontId="31" fillId="0" borderId="0" xfId="0" applyFont="1"/>
    <xf numFmtId="0" fontId="0" fillId="0" borderId="0" xfId="0" applyAlignment="1">
      <alignment horizontal="center"/>
    </xf>
    <xf numFmtId="9" fontId="0" fillId="0" borderId="0" xfId="1" applyFont="1" applyAlignment="1">
      <alignment horizontal="center" vertical="center"/>
    </xf>
    <xf numFmtId="0" fontId="36" fillId="5" borderId="5" xfId="0" applyFont="1" applyFill="1" applyBorder="1" applyAlignment="1">
      <alignment vertical="center" wrapText="1"/>
    </xf>
    <xf numFmtId="0" fontId="34" fillId="2" borderId="5" xfId="0" applyFont="1" applyFill="1" applyBorder="1" applyAlignment="1">
      <alignment vertical="center" wrapText="1"/>
    </xf>
    <xf numFmtId="9" fontId="0" fillId="0" borderId="5" xfId="0" applyNumberFormat="1" applyBorder="1" applyAlignment="1">
      <alignment horizontal="center" vertical="center"/>
    </xf>
    <xf numFmtId="9" fontId="0" fillId="2" borderId="5" xfId="1" applyFont="1" applyFill="1" applyBorder="1" applyAlignment="1">
      <alignment horizontal="center" vertical="center"/>
    </xf>
    <xf numFmtId="9" fontId="0" fillId="2" borderId="0" xfId="1" applyFont="1" applyFill="1" applyBorder="1" applyAlignment="1">
      <alignment horizontal="center" vertical="center"/>
    </xf>
    <xf numFmtId="0" fontId="35" fillId="2" borderId="8" xfId="0" applyFont="1" applyFill="1" applyBorder="1" applyAlignment="1">
      <alignment horizontal="center" vertical="center" wrapText="1"/>
    </xf>
    <xf numFmtId="0" fontId="34" fillId="2" borderId="8" xfId="0" applyFont="1" applyFill="1" applyBorder="1" applyAlignment="1">
      <alignment vertical="center" wrapText="1"/>
    </xf>
    <xf numFmtId="9" fontId="0" fillId="2" borderId="0" xfId="0" applyNumberFormat="1" applyFill="1"/>
    <xf numFmtId="0" fontId="34" fillId="2" borderId="5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2" borderId="0" xfId="0" applyFont="1" applyFill="1" applyAlignment="1">
      <alignment horizontal="left" vertical="center"/>
    </xf>
    <xf numFmtId="0" fontId="28" fillId="0" borderId="5" xfId="0" applyFont="1" applyBorder="1" applyAlignment="1">
      <alignment horizontal="left" vertical="center" wrapText="1"/>
    </xf>
    <xf numFmtId="9" fontId="21" fillId="0" borderId="0" xfId="0" applyNumberFormat="1" applyFont="1"/>
    <xf numFmtId="0" fontId="22" fillId="2" borderId="0" xfId="0" applyFont="1" applyFill="1" applyAlignment="1">
      <alignment vertical="center" wrapText="1"/>
    </xf>
    <xf numFmtId="0" fontId="21" fillId="0" borderId="5" xfId="0" applyFont="1" applyBorder="1"/>
    <xf numFmtId="0" fontId="37" fillId="2" borderId="0" xfId="0" applyFont="1" applyFill="1" applyAlignment="1">
      <alignment horizontal="center" vertical="center" wrapText="1"/>
    </xf>
    <xf numFmtId="9" fontId="37" fillId="2" borderId="0" xfId="1" applyFont="1" applyFill="1" applyBorder="1" applyAlignment="1">
      <alignment horizontal="center" vertical="center" wrapText="1"/>
    </xf>
    <xf numFmtId="0" fontId="21" fillId="0" borderId="0" xfId="0" applyFont="1" applyAlignment="1">
      <alignment vertical="center"/>
    </xf>
    <xf numFmtId="0" fontId="21" fillId="0" borderId="5" xfId="0" applyFont="1" applyBorder="1" applyAlignment="1">
      <alignment vertical="center"/>
    </xf>
    <xf numFmtId="0" fontId="38" fillId="0" borderId="0" xfId="0" applyFont="1" applyAlignment="1">
      <alignment vertical="center" wrapText="1"/>
    </xf>
    <xf numFmtId="0" fontId="38" fillId="0" borderId="0" xfId="0" applyFont="1" applyAlignment="1">
      <alignment horizontal="center" vertical="center" wrapText="1"/>
    </xf>
    <xf numFmtId="0" fontId="39" fillId="0" borderId="0" xfId="0" applyFont="1" applyAlignment="1">
      <alignment vertical="center" wrapText="1"/>
    </xf>
    <xf numFmtId="0" fontId="39" fillId="0" borderId="0" xfId="0" applyFont="1" applyAlignment="1">
      <alignment horizontal="center" vertical="center" wrapText="1"/>
    </xf>
    <xf numFmtId="9" fontId="9" fillId="2" borderId="0" xfId="0" applyNumberFormat="1" applyFont="1" applyFill="1"/>
    <xf numFmtId="0" fontId="20" fillId="0" borderId="0" xfId="2" applyFill="1" applyBorder="1" applyAlignment="1">
      <alignment wrapText="1"/>
    </xf>
    <xf numFmtId="0" fontId="34" fillId="2" borderId="10" xfId="0" applyFont="1" applyFill="1" applyBorder="1" applyAlignment="1">
      <alignment vertical="center" wrapText="1"/>
    </xf>
    <xf numFmtId="9" fontId="0" fillId="2" borderId="10" xfId="1" applyFont="1" applyFill="1" applyBorder="1" applyAlignment="1">
      <alignment horizontal="center" vertical="center"/>
    </xf>
    <xf numFmtId="0" fontId="31" fillId="2" borderId="0" xfId="0" applyFont="1" applyFill="1"/>
    <xf numFmtId="0" fontId="0" fillId="2" borderId="0" xfId="0" applyFill="1" applyAlignment="1">
      <alignment horizontal="center"/>
    </xf>
    <xf numFmtId="9" fontId="0" fillId="2" borderId="0" xfId="1" applyFont="1" applyFill="1" applyAlignment="1">
      <alignment horizontal="center" vertical="center"/>
    </xf>
    <xf numFmtId="9" fontId="9" fillId="0" borderId="0" xfId="0" applyNumberFormat="1" applyFont="1"/>
    <xf numFmtId="0" fontId="0" fillId="0" borderId="5" xfId="0" applyBorder="1" applyAlignment="1">
      <alignment horizontal="left" vertical="center" wrapText="1"/>
    </xf>
    <xf numFmtId="0" fontId="24" fillId="7" borderId="5" xfId="0" applyFont="1" applyFill="1" applyBorder="1" applyAlignment="1">
      <alignment vertical="center" wrapText="1"/>
    </xf>
    <xf numFmtId="0" fontId="24" fillId="0" borderId="5" xfId="0" applyFont="1" applyBorder="1" applyAlignment="1">
      <alignment horizontal="center" vertical="center" wrapText="1"/>
    </xf>
    <xf numFmtId="0" fontId="34" fillId="0" borderId="5" xfId="0" applyFont="1" applyBorder="1" applyAlignment="1">
      <alignment horizontal="center" vertical="center" wrapText="1"/>
    </xf>
    <xf numFmtId="9" fontId="28" fillId="0" borderId="5" xfId="1" applyFont="1" applyFill="1" applyBorder="1" applyAlignment="1">
      <alignment horizontal="center" vertical="center"/>
    </xf>
    <xf numFmtId="0" fontId="26" fillId="5" borderId="7" xfId="0" applyFont="1" applyFill="1" applyBorder="1" applyAlignment="1">
      <alignment horizontal="center" vertical="center" wrapText="1"/>
    </xf>
    <xf numFmtId="0" fontId="40" fillId="0" borderId="6" xfId="0" applyFont="1" applyBorder="1" applyAlignment="1">
      <alignment horizontal="center" vertical="center" wrapText="1"/>
    </xf>
    <xf numFmtId="0" fontId="42" fillId="0" borderId="0" xfId="0" applyFont="1"/>
    <xf numFmtId="0" fontId="0" fillId="0" borderId="12" xfId="0" applyBorder="1"/>
    <xf numFmtId="9" fontId="0" fillId="0" borderId="13" xfId="1" applyFont="1" applyBorder="1"/>
    <xf numFmtId="0" fontId="0" fillId="0" borderId="15" xfId="0" applyBorder="1"/>
    <xf numFmtId="9" fontId="0" fillId="0" borderId="16" xfId="1" applyFont="1" applyBorder="1"/>
    <xf numFmtId="9" fontId="0" fillId="0" borderId="0" xfId="1" applyFont="1"/>
    <xf numFmtId="0" fontId="34" fillId="0" borderId="5" xfId="0" applyFont="1" applyBorder="1" applyAlignment="1">
      <alignment horizontal="left" vertical="top" wrapText="1"/>
    </xf>
    <xf numFmtId="0" fontId="34" fillId="0" borderId="7" xfId="0" applyFont="1" applyBorder="1" applyAlignment="1">
      <alignment vertical="center" wrapText="1"/>
    </xf>
    <xf numFmtId="0" fontId="44" fillId="0" borderId="5" xfId="0" applyFont="1" applyBorder="1" applyAlignment="1">
      <alignment vertical="center" wrapText="1"/>
    </xf>
    <xf numFmtId="0" fontId="28" fillId="2" borderId="0" xfId="0" applyFont="1" applyFill="1"/>
    <xf numFmtId="0" fontId="6" fillId="2" borderId="0" xfId="0" applyFont="1" applyFill="1"/>
    <xf numFmtId="0" fontId="6" fillId="0" borderId="0" xfId="0" applyFont="1"/>
    <xf numFmtId="0" fontId="28" fillId="0" borderId="0" xfId="0" applyFont="1"/>
    <xf numFmtId="0" fontId="45" fillId="8" borderId="7" xfId="0" applyFont="1" applyFill="1" applyBorder="1" applyAlignment="1">
      <alignment vertical="center" wrapText="1"/>
    </xf>
    <xf numFmtId="0" fontId="28" fillId="2" borderId="0" xfId="0" applyFont="1" applyFill="1" applyAlignment="1">
      <alignment horizontal="left"/>
    </xf>
    <xf numFmtId="0" fontId="42" fillId="0" borderId="5" xfId="0" applyFont="1" applyBorder="1" applyAlignment="1">
      <alignment horizontal="center" vertical="center" wrapText="1"/>
    </xf>
    <xf numFmtId="0" fontId="6" fillId="2" borderId="0" xfId="0" applyFont="1" applyFill="1" applyAlignment="1">
      <alignment horizontal="center"/>
    </xf>
    <xf numFmtId="0" fontId="28" fillId="0" borderId="0" xfId="0" applyFont="1" applyAlignment="1">
      <alignment horizontal="center"/>
    </xf>
    <xf numFmtId="0" fontId="45" fillId="2" borderId="0" xfId="0" applyFont="1" applyFill="1" applyAlignment="1">
      <alignment horizontal="center" vertical="center" wrapText="1"/>
    </xf>
    <xf numFmtId="0" fontId="28" fillId="2" borderId="0" xfId="0" applyFont="1" applyFill="1" applyAlignment="1">
      <alignment horizontal="left" vertical="center" wrapText="1"/>
    </xf>
    <xf numFmtId="0" fontId="28" fillId="2" borderId="5" xfId="0" applyFont="1" applyFill="1" applyBorder="1"/>
    <xf numFmtId="0" fontId="45" fillId="8" borderId="5" xfId="0" applyFont="1" applyFill="1" applyBorder="1" applyAlignment="1">
      <alignment vertical="center" wrapText="1"/>
    </xf>
    <xf numFmtId="0" fontId="25" fillId="0" borderId="7" xfId="0" applyFont="1" applyBorder="1" applyAlignment="1">
      <alignment vertical="center" wrapText="1"/>
    </xf>
    <xf numFmtId="0" fontId="25" fillId="0" borderId="0" xfId="0" applyFont="1"/>
    <xf numFmtId="0" fontId="42" fillId="0" borderId="6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top" wrapText="1"/>
    </xf>
    <xf numFmtId="0" fontId="28" fillId="2" borderId="0" xfId="0" applyFont="1" applyFill="1" applyAlignment="1">
      <alignment horizontal="center" vertical="center"/>
    </xf>
    <xf numFmtId="0" fontId="31" fillId="0" borderId="6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42" fillId="0" borderId="11" xfId="0" applyFont="1" applyBorder="1" applyAlignment="1">
      <alignment horizontal="center" vertical="center" wrapText="1"/>
    </xf>
    <xf numFmtId="0" fontId="31" fillId="0" borderId="11" xfId="0" applyFont="1" applyBorder="1" applyAlignment="1">
      <alignment horizontal="center" vertical="center" wrapText="1"/>
    </xf>
    <xf numFmtId="0" fontId="44" fillId="0" borderId="7" xfId="0" applyFont="1" applyBorder="1" applyAlignment="1">
      <alignment vertical="center" wrapText="1"/>
    </xf>
    <xf numFmtId="0" fontId="24" fillId="2" borderId="7" xfId="0" applyFont="1" applyFill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left" vertical="top" wrapText="1"/>
    </xf>
    <xf numFmtId="0" fontId="43" fillId="0" borderId="5" xfId="0" applyFont="1" applyBorder="1" applyAlignment="1">
      <alignment horizontal="left" vertical="top" wrapText="1"/>
    </xf>
    <xf numFmtId="0" fontId="43" fillId="0" borderId="5" xfId="0" applyFont="1" applyBorder="1" applyAlignment="1">
      <alignment vertical="center" wrapText="1"/>
    </xf>
    <xf numFmtId="0" fontId="34" fillId="0" borderId="10" xfId="0" applyFont="1" applyBorder="1" applyAlignment="1">
      <alignment vertical="center" wrapText="1"/>
    </xf>
    <xf numFmtId="0" fontId="41" fillId="0" borderId="6" xfId="0" applyFont="1" applyBorder="1" applyAlignment="1">
      <alignment horizontal="center" vertical="center" wrapText="1"/>
    </xf>
    <xf numFmtId="9" fontId="28" fillId="2" borderId="5" xfId="0" applyNumberFormat="1" applyFont="1" applyFill="1" applyBorder="1" applyAlignment="1">
      <alignment horizontal="center" vertical="center"/>
    </xf>
    <xf numFmtId="9" fontId="42" fillId="9" borderId="5" xfId="0" applyNumberFormat="1" applyFont="1" applyFill="1" applyBorder="1" applyAlignment="1">
      <alignment horizontal="center" vertical="center"/>
    </xf>
    <xf numFmtId="9" fontId="28" fillId="2" borderId="5" xfId="0" applyNumberFormat="1" applyFont="1" applyFill="1" applyBorder="1" applyAlignment="1">
      <alignment horizontal="center"/>
    </xf>
    <xf numFmtId="9" fontId="28" fillId="0" borderId="5" xfId="0" applyNumberFormat="1" applyFont="1" applyBorder="1" applyAlignment="1">
      <alignment horizontal="center"/>
    </xf>
    <xf numFmtId="0" fontId="42" fillId="8" borderId="10" xfId="0" applyFont="1" applyFill="1" applyBorder="1" applyAlignment="1">
      <alignment horizontal="center" vertical="center" wrapText="1"/>
    </xf>
    <xf numFmtId="0" fontId="24" fillId="8" borderId="7" xfId="0" applyFont="1" applyFill="1" applyBorder="1" applyAlignment="1">
      <alignment horizontal="center" vertical="center" wrapText="1"/>
    </xf>
    <xf numFmtId="0" fontId="0" fillId="8" borderId="6" xfId="0" applyFill="1" applyBorder="1" applyAlignment="1">
      <alignment horizontal="center" vertical="center" wrapText="1"/>
    </xf>
    <xf numFmtId="0" fontId="46" fillId="8" borderId="7" xfId="0" applyFont="1" applyFill="1" applyBorder="1" applyAlignment="1">
      <alignment horizontal="left" vertical="top" wrapText="1"/>
    </xf>
    <xf numFmtId="0" fontId="46" fillId="8" borderId="5" xfId="0" applyFont="1" applyFill="1" applyBorder="1" applyAlignment="1">
      <alignment vertical="center" wrapText="1"/>
    </xf>
    <xf numFmtId="0" fontId="28" fillId="2" borderId="5" xfId="0" applyFont="1" applyFill="1" applyBorder="1" applyAlignment="1">
      <alignment horizontal="center" vertical="center"/>
    </xf>
    <xf numFmtId="9" fontId="42" fillId="9" borderId="5" xfId="0" applyNumberFormat="1" applyFont="1" applyFill="1" applyBorder="1" applyAlignment="1">
      <alignment horizontal="center"/>
    </xf>
    <xf numFmtId="0" fontId="28" fillId="2" borderId="5" xfId="0" applyFont="1" applyFill="1" applyBorder="1" applyAlignment="1">
      <alignment horizontal="center"/>
    </xf>
    <xf numFmtId="0" fontId="45" fillId="0" borderId="7" xfId="0" applyFont="1" applyBorder="1" applyAlignment="1">
      <alignment vertical="center" wrapText="1"/>
    </xf>
    <xf numFmtId="0" fontId="28" fillId="2" borderId="0" xfId="0" applyFont="1" applyFill="1" applyAlignment="1">
      <alignment horizontal="center"/>
    </xf>
    <xf numFmtId="0" fontId="0" fillId="0" borderId="22" xfId="0" applyBorder="1" applyAlignment="1">
      <alignment horizontal="center" vertical="center" wrapText="1"/>
    </xf>
    <xf numFmtId="0" fontId="28" fillId="8" borderId="5" xfId="0" applyFont="1" applyFill="1" applyBorder="1" applyAlignment="1">
      <alignment horizontal="center"/>
    </xf>
    <xf numFmtId="0" fontId="46" fillId="8" borderId="7" xfId="0" applyFont="1" applyFill="1" applyBorder="1" applyAlignment="1">
      <alignment horizontal="center" vertical="center" wrapText="1"/>
    </xf>
    <xf numFmtId="164" fontId="42" fillId="9" borderId="5" xfId="0" applyNumberFormat="1" applyFont="1" applyFill="1" applyBorder="1" applyAlignment="1">
      <alignment horizontal="center"/>
    </xf>
    <xf numFmtId="9" fontId="25" fillId="0" borderId="0" xfId="1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 wrapText="1"/>
    </xf>
    <xf numFmtId="0" fontId="31" fillId="2" borderId="5" xfId="0" applyFont="1" applyFill="1" applyBorder="1" applyAlignment="1">
      <alignment vertical="center" wrapText="1"/>
    </xf>
    <xf numFmtId="9" fontId="28" fillId="0" borderId="5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28" fillId="0" borderId="5" xfId="0" applyFont="1" applyBorder="1" applyAlignment="1">
      <alignment vertical="center" wrapText="1"/>
    </xf>
    <xf numFmtId="0" fontId="31" fillId="0" borderId="5" xfId="0" applyFont="1" applyBorder="1" applyAlignment="1">
      <alignment vertical="center" wrapText="1"/>
    </xf>
    <xf numFmtId="0" fontId="31" fillId="0" borderId="10" xfId="0" applyFont="1" applyBorder="1" applyAlignment="1">
      <alignment vertical="center" wrapText="1"/>
    </xf>
    <xf numFmtId="0" fontId="31" fillId="3" borderId="7" xfId="0" applyFont="1" applyFill="1" applyBorder="1" applyAlignment="1">
      <alignment vertical="center" wrapText="1"/>
    </xf>
    <xf numFmtId="0" fontId="31" fillId="3" borderId="5" xfId="0" applyFont="1" applyFill="1" applyBorder="1" applyAlignment="1">
      <alignment vertical="center" wrapText="1"/>
    </xf>
    <xf numFmtId="0" fontId="28" fillId="2" borderId="5" xfId="0" applyFont="1" applyFill="1" applyBorder="1" applyAlignment="1">
      <alignment vertical="center" wrapText="1"/>
    </xf>
    <xf numFmtId="0" fontId="28" fillId="2" borderId="5" xfId="0" applyFont="1" applyFill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 wrapText="1"/>
    </xf>
    <xf numFmtId="0" fontId="31" fillId="0" borderId="7" xfId="0" applyFont="1" applyBorder="1" applyAlignment="1">
      <alignment vertical="center" wrapText="1"/>
    </xf>
    <xf numFmtId="0" fontId="31" fillId="2" borderId="7" xfId="0" applyFont="1" applyFill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0" fontId="42" fillId="8" borderId="0" xfId="0" applyFont="1" applyFill="1" applyAlignment="1">
      <alignment horizontal="left" vertical="center" wrapText="1"/>
    </xf>
    <xf numFmtId="0" fontId="24" fillId="0" borderId="22" xfId="0" applyFont="1" applyBorder="1" applyAlignment="1">
      <alignment horizontal="center" vertical="center" wrapText="1"/>
    </xf>
    <xf numFmtId="0" fontId="42" fillId="0" borderId="5" xfId="0" applyFont="1" applyBorder="1" applyAlignment="1">
      <alignment vertical="center" wrapText="1"/>
    </xf>
    <xf numFmtId="9" fontId="42" fillId="0" borderId="5" xfId="0" applyNumberFormat="1" applyFont="1" applyBorder="1" applyAlignment="1">
      <alignment horizontal="center" vertical="center"/>
    </xf>
    <xf numFmtId="0" fontId="42" fillId="10" borderId="5" xfId="0" applyFont="1" applyFill="1" applyBorder="1" applyAlignment="1">
      <alignment horizontal="left" vertical="center" wrapText="1"/>
    </xf>
    <xf numFmtId="0" fontId="45" fillId="10" borderId="5" xfId="0" applyFont="1" applyFill="1" applyBorder="1" applyAlignment="1">
      <alignment vertical="center" wrapText="1"/>
    </xf>
    <xf numFmtId="0" fontId="28" fillId="10" borderId="5" xfId="0" applyFont="1" applyFill="1" applyBorder="1" applyAlignment="1">
      <alignment horizontal="left" vertical="center" wrapText="1"/>
    </xf>
    <xf numFmtId="0" fontId="48" fillId="10" borderId="5" xfId="0" applyFont="1" applyFill="1" applyBorder="1" applyAlignment="1">
      <alignment vertical="center" wrapText="1"/>
    </xf>
    <xf numFmtId="9" fontId="42" fillId="10" borderId="5" xfId="0" applyNumberFormat="1" applyFont="1" applyFill="1" applyBorder="1" applyAlignment="1">
      <alignment horizontal="center" vertical="center"/>
    </xf>
    <xf numFmtId="9" fontId="42" fillId="10" borderId="5" xfId="0" applyNumberFormat="1" applyFont="1" applyFill="1" applyBorder="1" applyAlignment="1">
      <alignment horizontal="center"/>
    </xf>
    <xf numFmtId="0" fontId="42" fillId="10" borderId="5" xfId="0" applyFont="1" applyFill="1" applyBorder="1" applyAlignment="1">
      <alignment horizontal="center" vertical="center" wrapText="1"/>
    </xf>
    <xf numFmtId="9" fontId="6" fillId="0" borderId="0" xfId="0" applyNumberFormat="1" applyFont="1" applyAlignment="1">
      <alignment horizontal="center"/>
    </xf>
    <xf numFmtId="0" fontId="42" fillId="10" borderId="11" xfId="0" applyFont="1" applyFill="1" applyBorder="1" applyAlignment="1">
      <alignment horizontal="center" vertical="center" wrapText="1"/>
    </xf>
    <xf numFmtId="0" fontId="44" fillId="0" borderId="5" xfId="0" applyFont="1" applyBorder="1" applyAlignment="1">
      <alignment horizontal="left" vertical="top" wrapText="1"/>
    </xf>
    <xf numFmtId="0" fontId="31" fillId="10" borderId="7" xfId="0" applyFont="1" applyFill="1" applyBorder="1" applyAlignment="1">
      <alignment vertical="center" wrapText="1"/>
    </xf>
    <xf numFmtId="0" fontId="42" fillId="10" borderId="19" xfId="0" applyFont="1" applyFill="1" applyBorder="1" applyAlignment="1">
      <alignment horizontal="center" vertical="center" wrapText="1"/>
    </xf>
    <xf numFmtId="0" fontId="28" fillId="10" borderId="7" xfId="0" applyFont="1" applyFill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 wrapText="1"/>
    </xf>
    <xf numFmtId="9" fontId="28" fillId="10" borderId="5" xfId="0" applyNumberFormat="1" applyFont="1" applyFill="1" applyBorder="1" applyAlignment="1">
      <alignment horizontal="center"/>
    </xf>
    <xf numFmtId="9" fontId="28" fillId="0" borderId="0" xfId="0" applyNumberFormat="1" applyFont="1" applyAlignment="1">
      <alignment horizontal="center"/>
    </xf>
    <xf numFmtId="0" fontId="42" fillId="10" borderId="20" xfId="0" applyFont="1" applyFill="1" applyBorder="1" applyAlignment="1">
      <alignment horizontal="left" vertical="center" wrapText="1"/>
    </xf>
    <xf numFmtId="0" fontId="45" fillId="10" borderId="7" xfId="0" applyFont="1" applyFill="1" applyBorder="1" applyAlignment="1">
      <alignment vertical="center" wrapText="1"/>
    </xf>
    <xf numFmtId="0" fontId="48" fillId="10" borderId="7" xfId="0" applyFont="1" applyFill="1" applyBorder="1" applyAlignment="1">
      <alignment vertical="center" wrapText="1"/>
    </xf>
    <xf numFmtId="0" fontId="42" fillId="10" borderId="5" xfId="0" applyFont="1" applyFill="1" applyBorder="1" applyAlignment="1">
      <alignment vertical="center" wrapText="1"/>
    </xf>
    <xf numFmtId="0" fontId="31" fillId="2" borderId="10" xfId="0" applyFont="1" applyFill="1" applyBorder="1" applyAlignment="1">
      <alignment vertical="center" wrapText="1"/>
    </xf>
    <xf numFmtId="0" fontId="28" fillId="0" borderId="10" xfId="0" applyFont="1" applyBorder="1" applyAlignment="1">
      <alignment horizontal="center" vertical="center" wrapText="1"/>
    </xf>
    <xf numFmtId="0" fontId="42" fillId="0" borderId="7" xfId="0" applyFont="1" applyBorder="1" applyAlignment="1">
      <alignment vertical="center" wrapText="1"/>
    </xf>
    <xf numFmtId="9" fontId="28" fillId="2" borderId="7" xfId="0" applyNumberFormat="1" applyFont="1" applyFill="1" applyBorder="1" applyAlignment="1">
      <alignment horizontal="center"/>
    </xf>
    <xf numFmtId="9" fontId="42" fillId="10" borderId="7" xfId="0" applyNumberFormat="1" applyFont="1" applyFill="1" applyBorder="1" applyAlignment="1">
      <alignment horizontal="center" vertical="center"/>
    </xf>
    <xf numFmtId="9" fontId="28" fillId="0" borderId="7" xfId="0" applyNumberFormat="1" applyFont="1" applyBorder="1" applyAlignment="1">
      <alignment horizontal="center"/>
    </xf>
    <xf numFmtId="9" fontId="42" fillId="10" borderId="7" xfId="0" applyNumberFormat="1" applyFont="1" applyFill="1" applyBorder="1" applyAlignment="1">
      <alignment horizontal="center"/>
    </xf>
    <xf numFmtId="9" fontId="28" fillId="2" borderId="24" xfId="0" applyNumberFormat="1" applyFont="1" applyFill="1" applyBorder="1" applyAlignment="1">
      <alignment horizontal="center"/>
    </xf>
    <xf numFmtId="9" fontId="42" fillId="10" borderId="5" xfId="1" applyFont="1" applyFill="1" applyBorder="1" applyAlignment="1">
      <alignment horizontal="center" vertical="center"/>
    </xf>
    <xf numFmtId="0" fontId="28" fillId="10" borderId="5" xfId="0" applyFont="1" applyFill="1" applyBorder="1" applyAlignment="1">
      <alignment horizontal="center" vertical="center" wrapText="1"/>
    </xf>
    <xf numFmtId="0" fontId="50" fillId="0" borderId="0" xfId="0" applyFont="1"/>
    <xf numFmtId="0" fontId="41" fillId="10" borderId="11" xfId="0" applyFont="1" applyFill="1" applyBorder="1" applyAlignment="1">
      <alignment horizontal="center" vertical="center" wrapText="1"/>
    </xf>
    <xf numFmtId="0" fontId="42" fillId="10" borderId="7" xfId="0" applyFont="1" applyFill="1" applyBorder="1" applyAlignment="1">
      <alignment vertical="center" wrapText="1"/>
    </xf>
    <xf numFmtId="0" fontId="48" fillId="10" borderId="7" xfId="0" applyFont="1" applyFill="1" applyBorder="1" applyAlignment="1">
      <alignment horizontal="center" vertical="center" wrapText="1"/>
    </xf>
    <xf numFmtId="0" fontId="48" fillId="0" borderId="0" xfId="0" applyFont="1"/>
    <xf numFmtId="0" fontId="0" fillId="10" borderId="6" xfId="0" applyFill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42" fillId="8" borderId="5" xfId="0" applyFont="1" applyFill="1" applyBorder="1" applyAlignment="1">
      <alignment horizontal="left" vertical="center" wrapText="1"/>
    </xf>
    <xf numFmtId="0" fontId="28" fillId="0" borderId="5" xfId="0" applyFont="1" applyBorder="1"/>
    <xf numFmtId="0" fontId="0" fillId="10" borderId="5" xfId="0" applyFill="1" applyBorder="1" applyAlignment="1">
      <alignment horizontal="center" vertical="center" wrapText="1"/>
    </xf>
    <xf numFmtId="0" fontId="28" fillId="0" borderId="5" xfId="0" applyFont="1" applyBorder="1" applyAlignment="1">
      <alignment horizontal="center"/>
    </xf>
    <xf numFmtId="0" fontId="31" fillId="0" borderId="7" xfId="0" applyFont="1" applyBorder="1" applyAlignment="1">
      <alignment horizontal="center" vertical="center" wrapText="1"/>
    </xf>
    <xf numFmtId="9" fontId="31" fillId="0" borderId="5" xfId="0" applyNumberFormat="1" applyFont="1" applyBorder="1" applyAlignment="1">
      <alignment horizontal="center"/>
    </xf>
    <xf numFmtId="0" fontId="31" fillId="0" borderId="5" xfId="0" applyFont="1" applyBorder="1" applyAlignment="1">
      <alignment wrapText="1"/>
    </xf>
    <xf numFmtId="0" fontId="46" fillId="10" borderId="5" xfId="0" applyFont="1" applyFill="1" applyBorder="1" applyAlignment="1">
      <alignment vertical="center" wrapText="1"/>
    </xf>
    <xf numFmtId="0" fontId="31" fillId="10" borderId="5" xfId="0" applyFont="1" applyFill="1" applyBorder="1" applyAlignment="1">
      <alignment horizontal="left" vertical="center" wrapText="1"/>
    </xf>
    <xf numFmtId="0" fontId="31" fillId="0" borderId="0" xfId="0" applyFont="1" applyAlignment="1">
      <alignment horizontal="center"/>
    </xf>
    <xf numFmtId="0" fontId="31" fillId="0" borderId="0" xfId="0" applyFont="1" applyAlignment="1">
      <alignment horizontal="center" vertical="center"/>
    </xf>
    <xf numFmtId="9" fontId="31" fillId="10" borderId="5" xfId="0" applyNumberFormat="1" applyFont="1" applyFill="1" applyBorder="1" applyAlignment="1">
      <alignment horizontal="center"/>
    </xf>
    <xf numFmtId="0" fontId="31" fillId="10" borderId="7" xfId="0" applyFont="1" applyFill="1" applyBorder="1" applyAlignment="1">
      <alignment horizontal="center" vertical="center" wrapText="1"/>
    </xf>
    <xf numFmtId="9" fontId="31" fillId="0" borderId="5" xfId="1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10" borderId="11" xfId="0" applyFill="1" applyBorder="1" applyAlignment="1">
      <alignment horizontal="center" vertical="center" wrapText="1"/>
    </xf>
    <xf numFmtId="9" fontId="31" fillId="0" borderId="5" xfId="0" applyNumberFormat="1" applyFont="1" applyBorder="1" applyAlignment="1">
      <alignment horizontal="center" vertical="center"/>
    </xf>
    <xf numFmtId="0" fontId="34" fillId="0" borderId="22" xfId="0" applyFont="1" applyBorder="1" applyAlignment="1">
      <alignment horizontal="center" vertical="center" wrapText="1"/>
    </xf>
    <xf numFmtId="9" fontId="43" fillId="0" borderId="24" xfId="1" applyFont="1" applyFill="1" applyBorder="1" applyAlignment="1">
      <alignment horizontal="center" vertical="center"/>
    </xf>
    <xf numFmtId="9" fontId="43" fillId="0" borderId="23" xfId="1" applyFont="1" applyFill="1" applyBorder="1" applyAlignment="1">
      <alignment horizontal="center" vertical="center"/>
    </xf>
    <xf numFmtId="0" fontId="31" fillId="0" borderId="0" xfId="0" applyFont="1" applyAlignment="1">
      <alignment horizontal="left" vertical="center" wrapText="1"/>
    </xf>
    <xf numFmtId="0" fontId="31" fillId="2" borderId="0" xfId="0" applyFont="1" applyFill="1" applyAlignment="1">
      <alignment horizontal="left" vertical="center" wrapText="1"/>
    </xf>
    <xf numFmtId="0" fontId="31" fillId="0" borderId="5" xfId="0" applyFont="1" applyBorder="1"/>
    <xf numFmtId="0" fontId="31" fillId="0" borderId="5" xfId="0" applyFont="1" applyBorder="1" applyAlignment="1">
      <alignment horizontal="center"/>
    </xf>
    <xf numFmtId="9" fontId="31" fillId="0" borderId="5" xfId="0" applyNumberFormat="1" applyFont="1" applyBorder="1"/>
    <xf numFmtId="164" fontId="31" fillId="0" borderId="5" xfId="0" applyNumberFormat="1" applyFont="1" applyBorder="1"/>
    <xf numFmtId="9" fontId="31" fillId="0" borderId="7" xfId="0" applyNumberFormat="1" applyFont="1" applyBorder="1" applyAlignment="1">
      <alignment horizontal="center"/>
    </xf>
    <xf numFmtId="9" fontId="0" fillId="0" borderId="7" xfId="0" applyNumberFormat="1" applyBorder="1" applyAlignment="1">
      <alignment horizontal="center" vertical="center"/>
    </xf>
    <xf numFmtId="9" fontId="42" fillId="10" borderId="7" xfId="1" applyFont="1" applyFill="1" applyBorder="1" applyAlignment="1">
      <alignment horizontal="center" vertical="center"/>
    </xf>
    <xf numFmtId="9" fontId="31" fillId="0" borderId="7" xfId="0" applyNumberFormat="1" applyFont="1" applyBorder="1" applyAlignment="1">
      <alignment horizontal="center" vertical="center"/>
    </xf>
    <xf numFmtId="0" fontId="34" fillId="0" borderId="0" xfId="0" applyFont="1" applyAlignment="1">
      <alignment vertical="center" wrapText="1"/>
    </xf>
    <xf numFmtId="0" fontId="34" fillId="0" borderId="0" xfId="0" applyFont="1" applyAlignment="1">
      <alignment horizontal="center" vertical="center" wrapText="1"/>
    </xf>
    <xf numFmtId="9" fontId="43" fillId="0" borderId="0" xfId="1" applyFont="1" applyFill="1" applyBorder="1" applyAlignment="1">
      <alignment horizontal="center" vertical="center"/>
    </xf>
    <xf numFmtId="9" fontId="42" fillId="12" borderId="6" xfId="0" applyNumberFormat="1" applyFont="1" applyFill="1" applyBorder="1" applyAlignment="1">
      <alignment horizontal="center" vertical="center"/>
    </xf>
    <xf numFmtId="0" fontId="31" fillId="12" borderId="5" xfId="0" applyFont="1" applyFill="1" applyBorder="1"/>
    <xf numFmtId="0" fontId="31" fillId="12" borderId="5" xfId="0" applyFont="1" applyFill="1" applyBorder="1" applyAlignment="1">
      <alignment horizontal="left" vertical="center" wrapText="1"/>
    </xf>
    <xf numFmtId="0" fontId="34" fillId="12" borderId="5" xfId="0" applyFont="1" applyFill="1" applyBorder="1" applyAlignment="1">
      <alignment vertical="center" wrapText="1"/>
    </xf>
    <xf numFmtId="0" fontId="42" fillId="12" borderId="5" xfId="0" applyFont="1" applyFill="1" applyBorder="1" applyAlignment="1">
      <alignment vertical="center" wrapText="1"/>
    </xf>
    <xf numFmtId="9" fontId="42" fillId="12" borderId="5" xfId="0" applyNumberFormat="1" applyFont="1" applyFill="1" applyBorder="1" applyAlignment="1">
      <alignment horizontal="center"/>
    </xf>
    <xf numFmtId="0" fontId="42" fillId="12" borderId="5" xfId="0" applyFont="1" applyFill="1" applyBorder="1" applyAlignment="1">
      <alignment horizontal="center" vertical="center" wrapText="1"/>
    </xf>
    <xf numFmtId="9" fontId="42" fillId="12" borderId="5" xfId="0" applyNumberFormat="1" applyFont="1" applyFill="1" applyBorder="1" applyAlignment="1">
      <alignment horizontal="center" vertical="center"/>
    </xf>
    <xf numFmtId="0" fontId="42" fillId="12" borderId="19" xfId="0" applyFont="1" applyFill="1" applyBorder="1" applyAlignment="1">
      <alignment horizontal="center" vertical="center" wrapText="1"/>
    </xf>
    <xf numFmtId="0" fontId="31" fillId="12" borderId="7" xfId="0" applyFont="1" applyFill="1" applyBorder="1" applyAlignment="1">
      <alignment vertical="center" wrapText="1"/>
    </xf>
    <xf numFmtId="0" fontId="31" fillId="12" borderId="7" xfId="0" applyFont="1" applyFill="1" applyBorder="1" applyAlignment="1">
      <alignment horizontal="center" vertical="center" wrapText="1"/>
    </xf>
    <xf numFmtId="0" fontId="0" fillId="12" borderId="11" xfId="0" applyFill="1" applyBorder="1" applyAlignment="1">
      <alignment horizontal="center" vertical="center" wrapText="1"/>
    </xf>
    <xf numFmtId="9" fontId="42" fillId="12" borderId="5" xfId="1" applyFont="1" applyFill="1" applyBorder="1" applyAlignment="1">
      <alignment horizontal="center" vertical="center"/>
    </xf>
    <xf numFmtId="0" fontId="34" fillId="0" borderId="24" xfId="0" applyFont="1" applyBorder="1" applyAlignment="1">
      <alignment vertical="center" wrapText="1"/>
    </xf>
    <xf numFmtId="0" fontId="34" fillId="0" borderId="23" xfId="0" applyFont="1" applyBorder="1" applyAlignment="1">
      <alignment horizontal="center" vertical="center" wrapText="1"/>
    </xf>
    <xf numFmtId="9" fontId="28" fillId="2" borderId="5" xfId="0" applyNumberFormat="1" applyFont="1" applyFill="1" applyBorder="1"/>
    <xf numFmtId="0" fontId="28" fillId="10" borderId="5" xfId="0" applyFont="1" applyFill="1" applyBorder="1"/>
    <xf numFmtId="9" fontId="28" fillId="0" borderId="5" xfId="0" applyNumberFormat="1" applyFont="1" applyBorder="1"/>
    <xf numFmtId="9" fontId="31" fillId="12" borderId="5" xfId="0" applyNumberFormat="1" applyFont="1" applyFill="1" applyBorder="1"/>
    <xf numFmtId="0" fontId="42" fillId="12" borderId="11" xfId="0" applyFont="1" applyFill="1" applyBorder="1" applyAlignment="1">
      <alignment horizontal="center" vertical="center" wrapText="1"/>
    </xf>
    <xf numFmtId="9" fontId="31" fillId="12" borderId="5" xfId="0" applyNumberFormat="1" applyFont="1" applyFill="1" applyBorder="1" applyAlignment="1">
      <alignment horizontal="center"/>
    </xf>
    <xf numFmtId="0" fontId="31" fillId="12" borderId="5" xfId="0" applyFont="1" applyFill="1" applyBorder="1" applyAlignment="1">
      <alignment vertical="center" wrapText="1"/>
    </xf>
    <xf numFmtId="9" fontId="46" fillId="12" borderId="5" xfId="0" applyNumberFormat="1" applyFont="1" applyFill="1" applyBorder="1" applyAlignment="1">
      <alignment horizontal="center" wrapText="1"/>
    </xf>
    <xf numFmtId="9" fontId="42" fillId="12" borderId="7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vertical="center" wrapText="1"/>
    </xf>
    <xf numFmtId="0" fontId="51" fillId="13" borderId="5" xfId="0" applyFont="1" applyFill="1" applyBorder="1" applyAlignment="1">
      <alignment vertical="top" wrapText="1"/>
    </xf>
    <xf numFmtId="0" fontId="51" fillId="13" borderId="5" xfId="0" applyFont="1" applyFill="1" applyBorder="1" applyAlignment="1">
      <alignment horizontal="right" vertical="top" wrapText="1"/>
    </xf>
    <xf numFmtId="20" fontId="51" fillId="13" borderId="5" xfId="0" applyNumberFormat="1" applyFont="1" applyFill="1" applyBorder="1" applyAlignment="1">
      <alignment horizontal="right" vertical="top" wrapText="1"/>
    </xf>
    <xf numFmtId="0" fontId="51" fillId="13" borderId="0" xfId="0" applyFont="1" applyFill="1" applyAlignment="1">
      <alignment vertical="top" wrapText="1"/>
    </xf>
    <xf numFmtId="0" fontId="52" fillId="13" borderId="0" xfId="0" applyFont="1" applyFill="1" applyAlignment="1">
      <alignment horizontal="center" vertical="center" wrapText="1"/>
    </xf>
    <xf numFmtId="0" fontId="0" fillId="13" borderId="0" xfId="0" applyFill="1"/>
    <xf numFmtId="0" fontId="0" fillId="13" borderId="0" xfId="0" applyFill="1" applyAlignment="1">
      <alignment vertical="top" wrapText="1"/>
    </xf>
    <xf numFmtId="0" fontId="0" fillId="0" borderId="0" xfId="0" applyAlignment="1">
      <alignment horizontal="left"/>
    </xf>
    <xf numFmtId="20" fontId="0" fillId="0" borderId="0" xfId="0" applyNumberFormat="1" applyAlignment="1">
      <alignment horizontal="left"/>
    </xf>
    <xf numFmtId="0" fontId="53" fillId="14" borderId="5" xfId="0" applyFont="1" applyFill="1" applyBorder="1" applyAlignment="1">
      <alignment vertical="center" wrapText="1"/>
    </xf>
    <xf numFmtId="0" fontId="54" fillId="14" borderId="0" xfId="0" applyFont="1" applyFill="1"/>
    <xf numFmtId="20" fontId="0" fillId="2" borderId="0" xfId="0" applyNumberFormat="1" applyFill="1" applyAlignment="1">
      <alignment horizontal="left"/>
    </xf>
    <xf numFmtId="0" fontId="55" fillId="15" borderId="25" xfId="0" applyFont="1" applyFill="1" applyBorder="1" applyAlignment="1">
      <alignment vertical="center" wrapText="1"/>
    </xf>
    <xf numFmtId="0" fontId="55" fillId="16" borderId="26" xfId="0" applyFont="1" applyFill="1" applyBorder="1" applyAlignment="1">
      <alignment vertical="center" wrapText="1"/>
    </xf>
    <xf numFmtId="0" fontId="56" fillId="0" borderId="0" xfId="0" applyFont="1" applyAlignment="1">
      <alignment horizontal="left"/>
    </xf>
    <xf numFmtId="0" fontId="0" fillId="0" borderId="0" xfId="0" applyAlignment="1">
      <alignment horizontal="right"/>
    </xf>
    <xf numFmtId="0" fontId="57" fillId="17" borderId="27" xfId="0" applyFont="1" applyFill="1" applyBorder="1" applyAlignment="1"/>
    <xf numFmtId="0" fontId="57" fillId="17" borderId="28" xfId="0" applyFont="1" applyFill="1" applyBorder="1" applyAlignment="1"/>
    <xf numFmtId="0" fontId="58" fillId="18" borderId="28" xfId="0" applyFont="1" applyFill="1" applyBorder="1" applyAlignment="1"/>
    <xf numFmtId="0" fontId="59" fillId="18" borderId="28" xfId="0" applyFont="1" applyFill="1" applyBorder="1" applyAlignment="1"/>
    <xf numFmtId="0" fontId="59" fillId="18" borderId="29" xfId="0" applyFont="1" applyFill="1" applyBorder="1" applyAlignment="1"/>
    <xf numFmtId="0" fontId="42" fillId="0" borderId="5" xfId="0" applyFont="1" applyBorder="1" applyAlignment="1">
      <alignment vertical="center"/>
    </xf>
    <xf numFmtId="0" fontId="61" fillId="0" borderId="0" xfId="0" applyFont="1" applyAlignment="1">
      <alignment vertical="center" wrapText="1"/>
    </xf>
    <xf numFmtId="0" fontId="63" fillId="0" borderId="0" xfId="0" applyFont="1" applyAlignment="1">
      <alignment horizontal="left" vertical="center"/>
    </xf>
    <xf numFmtId="0" fontId="64" fillId="0" borderId="0" xfId="0" applyFont="1"/>
    <xf numFmtId="0" fontId="65" fillId="0" borderId="0" xfId="0" applyFont="1" applyAlignment="1">
      <alignment vertical="center"/>
    </xf>
    <xf numFmtId="0" fontId="66" fillId="0" borderId="0" xfId="0" applyFont="1" applyAlignment="1">
      <alignment horizontal="left" vertical="center" indent="1"/>
    </xf>
    <xf numFmtId="0" fontId="67" fillId="0" borderId="0" xfId="0" applyFont="1" applyAlignment="1">
      <alignment horizontal="left" vertical="center" indent="1"/>
    </xf>
    <xf numFmtId="0" fontId="68" fillId="0" borderId="0" xfId="0" applyFont="1" applyAlignment="1">
      <alignment vertical="center"/>
    </xf>
    <xf numFmtId="0" fontId="61" fillId="0" borderId="0" xfId="0" applyFont="1" applyAlignment="1">
      <alignment vertical="center"/>
    </xf>
    <xf numFmtId="0" fontId="60" fillId="0" borderId="0" xfId="0" applyFont="1"/>
    <xf numFmtId="0" fontId="69" fillId="0" borderId="0" xfId="0" applyFont="1" applyAlignment="1">
      <alignment horizontal="left" vertical="center" indent="1"/>
    </xf>
    <xf numFmtId="0" fontId="70" fillId="0" borderId="0" xfId="0" applyFont="1"/>
    <xf numFmtId="0" fontId="18" fillId="0" borderId="7" xfId="0" applyFont="1" applyBorder="1" applyAlignment="1">
      <alignment horizontal="center"/>
    </xf>
    <xf numFmtId="0" fontId="18" fillId="0" borderId="9" xfId="0" applyFont="1" applyBorder="1" applyAlignment="1">
      <alignment horizontal="center"/>
    </xf>
    <xf numFmtId="0" fontId="41" fillId="0" borderId="0" xfId="0" applyFont="1" applyAlignment="1">
      <alignment horizontal="center" vertical="center"/>
    </xf>
    <xf numFmtId="9" fontId="0" fillId="0" borderId="14" xfId="1" applyFont="1" applyBorder="1" applyAlignment="1">
      <alignment horizontal="center" vertical="center"/>
    </xf>
    <xf numFmtId="9" fontId="0" fillId="0" borderId="17" xfId="1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0" fontId="42" fillId="0" borderId="19" xfId="0" applyFont="1" applyBorder="1" applyAlignment="1">
      <alignment horizontal="center" vertical="center" wrapText="1"/>
    </xf>
    <xf numFmtId="9" fontId="31" fillId="0" borderId="10" xfId="1" applyFont="1" applyFill="1" applyBorder="1" applyAlignment="1">
      <alignment horizontal="center" vertical="center"/>
    </xf>
    <xf numFmtId="9" fontId="31" fillId="0" borderId="6" xfId="1" applyFont="1" applyFill="1" applyBorder="1" applyAlignment="1">
      <alignment horizontal="center" vertical="center"/>
    </xf>
    <xf numFmtId="9" fontId="31" fillId="0" borderId="11" xfId="1" applyFont="1" applyFill="1" applyBorder="1" applyAlignment="1">
      <alignment horizontal="center" vertical="center"/>
    </xf>
    <xf numFmtId="0" fontId="42" fillId="0" borderId="10" xfId="0" applyFont="1" applyBorder="1" applyAlignment="1">
      <alignment horizontal="center" vertical="center" wrapText="1"/>
    </xf>
    <xf numFmtId="0" fontId="42" fillId="0" borderId="6" xfId="0" applyFont="1" applyBorder="1" applyAlignment="1">
      <alignment horizontal="center" vertical="center" wrapText="1"/>
    </xf>
    <xf numFmtId="0" fontId="42" fillId="0" borderId="11" xfId="0" applyFont="1" applyBorder="1" applyAlignment="1">
      <alignment horizontal="center" vertical="center" wrapText="1"/>
    </xf>
    <xf numFmtId="0" fontId="42" fillId="0" borderId="5" xfId="0" applyFont="1" applyBorder="1" applyAlignment="1">
      <alignment horizontal="center" vertical="center" wrapText="1"/>
    </xf>
    <xf numFmtId="0" fontId="31" fillId="0" borderId="19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9" fontId="31" fillId="0" borderId="10" xfId="0" applyNumberFormat="1" applyFont="1" applyBorder="1"/>
    <xf numFmtId="0" fontId="0" fillId="0" borderId="6" xfId="0" applyBorder="1"/>
    <xf numFmtId="9" fontId="31" fillId="0" borderId="10" xfId="0" applyNumberFormat="1" applyFont="1" applyBorder="1" applyAlignment="1">
      <alignment horizontal="right" vertical="center"/>
    </xf>
    <xf numFmtId="9" fontId="0" fillId="0" borderId="11" xfId="0" applyNumberFormat="1" applyBorder="1" applyAlignment="1">
      <alignment horizontal="right" vertical="center"/>
    </xf>
    <xf numFmtId="0" fontId="0" fillId="0" borderId="11" xfId="0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0" fontId="42" fillId="11" borderId="10" xfId="0" applyFont="1" applyFill="1" applyBorder="1" applyAlignment="1">
      <alignment horizontal="left" vertical="center" wrapText="1"/>
    </xf>
    <xf numFmtId="0" fontId="0" fillId="11" borderId="11" xfId="0" applyFill="1" applyBorder="1" applyAlignment="1">
      <alignment horizontal="left" vertical="center" wrapText="1"/>
    </xf>
    <xf numFmtId="0" fontId="0" fillId="11" borderId="6" xfId="0" applyFill="1" applyBorder="1" applyAlignment="1">
      <alignment horizontal="left" vertical="center" wrapText="1"/>
    </xf>
    <xf numFmtId="0" fontId="42" fillId="11" borderId="7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24" fillId="0" borderId="10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28" fillId="2" borderId="10" xfId="0" applyFont="1" applyFill="1" applyBorder="1"/>
    <xf numFmtId="0" fontId="0" fillId="0" borderId="11" xfId="0" applyBorder="1"/>
    <xf numFmtId="0" fontId="28" fillId="0" borderId="10" xfId="0" applyFont="1" applyBorder="1" applyAlignment="1">
      <alignment horizontal="left"/>
    </xf>
    <xf numFmtId="0" fontId="0" fillId="0" borderId="11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 wrapText="1"/>
    </xf>
    <xf numFmtId="0" fontId="28" fillId="0" borderId="11" xfId="0" applyFont="1" applyBorder="1" applyAlignment="1">
      <alignment horizontal="center" vertical="center" wrapText="1"/>
    </xf>
    <xf numFmtId="9" fontId="28" fillId="0" borderId="10" xfId="0" applyNumberFormat="1" applyFont="1" applyBorder="1" applyAlignment="1">
      <alignment horizontal="center"/>
    </xf>
    <xf numFmtId="0" fontId="28" fillId="0" borderId="0" xfId="0" applyFont="1" applyAlignment="1">
      <alignment horizontal="center" vertical="center"/>
    </xf>
    <xf numFmtId="0" fontId="28" fillId="0" borderId="10" xfId="0" applyFont="1" applyBorder="1"/>
    <xf numFmtId="0" fontId="28" fillId="0" borderId="11" xfId="0" applyFont="1" applyBorder="1"/>
    <xf numFmtId="0" fontId="28" fillId="0" borderId="6" xfId="0" applyFont="1" applyBorder="1"/>
    <xf numFmtId="0" fontId="0" fillId="0" borderId="5" xfId="0" applyBorder="1" applyAlignment="1">
      <alignment horizontal="center" vertical="center" wrapText="1"/>
    </xf>
    <xf numFmtId="0" fontId="0" fillId="0" borderId="10" xfId="0" applyBorder="1"/>
    <xf numFmtId="0" fontId="0" fillId="0" borderId="5" xfId="0" applyBorder="1"/>
    <xf numFmtId="0" fontId="28" fillId="2" borderId="0" xfId="0" applyFont="1" applyFill="1" applyAlignment="1">
      <alignment horizontal="center" vertical="center"/>
    </xf>
    <xf numFmtId="0" fontId="31" fillId="0" borderId="5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28" fillId="0" borderId="5" xfId="0" applyFont="1" applyBorder="1" applyAlignment="1">
      <alignment horizontal="center" vertical="center" wrapText="1"/>
    </xf>
    <xf numFmtId="9" fontId="28" fillId="0" borderId="7" xfId="0" applyNumberFormat="1" applyFont="1" applyBorder="1" applyAlignment="1">
      <alignment horizontal="center"/>
    </xf>
    <xf numFmtId="0" fontId="28" fillId="2" borderId="10" xfId="0" applyFont="1" applyFill="1" applyBorder="1" applyAlignment="1">
      <alignment horizontal="left" wrapText="1"/>
    </xf>
    <xf numFmtId="0" fontId="0" fillId="0" borderId="11" xfId="0" applyBorder="1" applyAlignment="1">
      <alignment wrapText="1"/>
    </xf>
    <xf numFmtId="0" fontId="0" fillId="0" borderId="6" xfId="0" applyBorder="1" applyAlignment="1">
      <alignment wrapText="1"/>
    </xf>
    <xf numFmtId="0" fontId="28" fillId="2" borderId="10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6" xfId="0" applyBorder="1" applyAlignment="1">
      <alignment vertical="center"/>
    </xf>
    <xf numFmtId="0" fontId="45" fillId="8" borderId="5" xfId="0" applyFont="1" applyFill="1" applyBorder="1" applyAlignment="1">
      <alignment horizontal="center" vertical="center" wrapText="1"/>
    </xf>
    <xf numFmtId="0" fontId="45" fillId="8" borderId="7" xfId="0" applyFont="1" applyFill="1" applyBorder="1" applyAlignment="1">
      <alignment horizontal="center" vertical="center" wrapText="1"/>
    </xf>
    <xf numFmtId="9" fontId="31" fillId="0" borderId="24" xfId="0" applyNumberFormat="1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9" fontId="31" fillId="0" borderId="10" xfId="0" applyNumberFormat="1" applyFont="1" applyBorder="1" applyAlignment="1">
      <alignment vertical="center"/>
    </xf>
    <xf numFmtId="9" fontId="31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9" fontId="28" fillId="2" borderId="10" xfId="0" applyNumberFormat="1" applyFont="1" applyFill="1" applyBorder="1" applyAlignment="1">
      <alignment horizontal="center" vertical="center"/>
    </xf>
    <xf numFmtId="9" fontId="31" fillId="0" borderId="5" xfId="0" applyNumberFormat="1" applyFont="1" applyBorder="1" applyAlignment="1">
      <alignment horizontal="center" vertical="center" wrapText="1"/>
    </xf>
    <xf numFmtId="0" fontId="31" fillId="0" borderId="11" xfId="0" applyFont="1" applyBorder="1" applyAlignment="1">
      <alignment horizontal="center" vertical="center" wrapText="1"/>
    </xf>
    <xf numFmtId="0" fontId="42" fillId="0" borderId="5" xfId="0" applyFont="1" applyBorder="1" applyAlignment="1">
      <alignment horizontal="center" vertical="center"/>
    </xf>
    <xf numFmtId="0" fontId="24" fillId="0" borderId="23" xfId="0" applyFont="1" applyBorder="1" applyAlignment="1">
      <alignment horizontal="center" vertical="center" wrapText="1"/>
    </xf>
    <xf numFmtId="0" fontId="24" fillId="0" borderId="22" xfId="0" applyFont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2" fillId="8" borderId="5" xfId="0" applyFont="1" applyFill="1" applyBorder="1" applyAlignment="1">
      <alignment horizontal="left" vertical="center" wrapText="1"/>
    </xf>
    <xf numFmtId="0" fontId="41" fillId="0" borderId="19" xfId="0" applyFont="1" applyBorder="1" applyAlignment="1">
      <alignment horizontal="center" vertical="center" wrapText="1"/>
    </xf>
    <xf numFmtId="0" fontId="41" fillId="0" borderId="21" xfId="0" applyFont="1" applyBorder="1" applyAlignment="1">
      <alignment horizontal="center" vertical="center" wrapText="1"/>
    </xf>
    <xf numFmtId="0" fontId="42" fillId="0" borderId="5" xfId="0" applyFont="1" applyBorder="1" applyAlignment="1">
      <alignment horizontal="center" vertical="center" textRotation="90"/>
    </xf>
    <xf numFmtId="0" fontId="0" fillId="0" borderId="7" xfId="0" applyBorder="1" applyAlignment="1">
      <alignment horizontal="center" vertical="center" wrapText="1"/>
    </xf>
    <xf numFmtId="9" fontId="31" fillId="0" borderId="10" xfId="0" applyNumberFormat="1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6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42" fillId="8" borderId="0" xfId="0" applyFont="1" applyFill="1" applyAlignment="1">
      <alignment horizontal="left" vertical="center" wrapText="1"/>
    </xf>
    <xf numFmtId="0" fontId="42" fillId="8" borderId="20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32" fillId="5" borderId="5" xfId="0" applyFont="1" applyFill="1" applyBorder="1" applyAlignment="1">
      <alignment horizontal="center" vertical="center" wrapText="1"/>
    </xf>
    <xf numFmtId="0" fontId="31" fillId="0" borderId="5" xfId="0" applyFont="1" applyBorder="1" applyAlignment="1">
      <alignment horizontal="left" vertical="center" wrapText="1"/>
    </xf>
    <xf numFmtId="0" fontId="24" fillId="2" borderId="10" xfId="0" applyFont="1" applyFill="1" applyBorder="1" applyAlignment="1">
      <alignment horizontal="center" vertical="center" wrapText="1"/>
    </xf>
    <xf numFmtId="0" fontId="24" fillId="2" borderId="11" xfId="0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9" fontId="28" fillId="2" borderId="10" xfId="1" applyFont="1" applyFill="1" applyBorder="1" applyAlignment="1">
      <alignment horizontal="center" vertical="center"/>
    </xf>
    <xf numFmtId="9" fontId="28" fillId="2" borderId="11" xfId="1" applyFont="1" applyFill="1" applyBorder="1" applyAlignment="1">
      <alignment horizontal="center" vertical="center"/>
    </xf>
    <xf numFmtId="9" fontId="28" fillId="2" borderId="6" xfId="1" applyFont="1" applyFill="1" applyBorder="1" applyAlignment="1">
      <alignment horizontal="center" vertical="center"/>
    </xf>
    <xf numFmtId="0" fontId="31" fillId="0" borderId="10" xfId="0" applyFont="1" applyBorder="1" applyAlignment="1">
      <alignment horizontal="left" vertical="center" wrapText="1"/>
    </xf>
    <xf numFmtId="0" fontId="31" fillId="0" borderId="11" xfId="0" applyFont="1" applyBorder="1" applyAlignment="1">
      <alignment horizontal="left" vertical="center" wrapText="1"/>
    </xf>
    <xf numFmtId="0" fontId="31" fillId="0" borderId="6" xfId="0" applyFont="1" applyBorder="1" applyAlignment="1">
      <alignment horizontal="left" vertical="center" wrapText="1"/>
    </xf>
    <xf numFmtId="0" fontId="13" fillId="2" borderId="5" xfId="0" applyFont="1" applyFill="1" applyBorder="1" applyAlignment="1">
      <alignment horizontal="center" vertical="center" wrapText="1"/>
    </xf>
    <xf numFmtId="0" fontId="13" fillId="2" borderId="7" xfId="0" applyFont="1" applyFill="1" applyBorder="1" applyAlignment="1">
      <alignment horizontal="center" vertical="center" wrapText="1"/>
    </xf>
    <xf numFmtId="0" fontId="13" fillId="2" borderId="9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left" vertical="center" wrapText="1"/>
    </xf>
    <xf numFmtId="0" fontId="12" fillId="2" borderId="7" xfId="0" applyFont="1" applyFill="1" applyBorder="1" applyAlignment="1">
      <alignment horizontal="left" vertical="center" wrapText="1"/>
    </xf>
    <xf numFmtId="0" fontId="12" fillId="2" borderId="8" xfId="0" applyFont="1" applyFill="1" applyBorder="1" applyAlignment="1">
      <alignment horizontal="left" vertical="center" wrapText="1"/>
    </xf>
    <xf numFmtId="0" fontId="12" fillId="2" borderId="9" xfId="0" applyFont="1" applyFill="1" applyBorder="1" applyAlignment="1">
      <alignment horizontal="left" vertical="center" wrapText="1"/>
    </xf>
    <xf numFmtId="0" fontId="26" fillId="5" borderId="7" xfId="0" applyFont="1" applyFill="1" applyBorder="1" applyAlignment="1">
      <alignment horizontal="center" vertical="center" wrapText="1"/>
    </xf>
    <xf numFmtId="0" fontId="26" fillId="5" borderId="9" xfId="0" applyFont="1" applyFill="1" applyBorder="1" applyAlignment="1">
      <alignment horizontal="center" vertical="center" wrapText="1"/>
    </xf>
    <xf numFmtId="0" fontId="26" fillId="5" borderId="5" xfId="0" applyFont="1" applyFill="1" applyBorder="1" applyAlignment="1">
      <alignment horizontal="center" vertical="center" wrapText="1"/>
    </xf>
    <xf numFmtId="0" fontId="40" fillId="0" borderId="5" xfId="0" applyFont="1" applyBorder="1" applyAlignment="1">
      <alignment horizontal="center" vertical="center"/>
    </xf>
    <xf numFmtId="0" fontId="40" fillId="0" borderId="10" xfId="0" applyFont="1" applyBorder="1" applyAlignment="1">
      <alignment horizontal="center" vertical="center" wrapText="1"/>
    </xf>
    <xf numFmtId="0" fontId="40" fillId="0" borderId="11" xfId="0" applyFont="1" applyBorder="1" applyAlignment="1">
      <alignment horizontal="center" vertical="center" wrapText="1"/>
    </xf>
    <xf numFmtId="0" fontId="40" fillId="0" borderId="6" xfId="0" applyFont="1" applyBorder="1" applyAlignment="1">
      <alignment horizontal="center" vertical="center" wrapText="1"/>
    </xf>
    <xf numFmtId="0" fontId="40" fillId="0" borderId="5" xfId="0" applyFont="1" applyBorder="1" applyAlignment="1">
      <alignment horizontal="center" vertical="center" wrapText="1"/>
    </xf>
    <xf numFmtId="0" fontId="32" fillId="2" borderId="10" xfId="0" applyFont="1" applyFill="1" applyBorder="1" applyAlignment="1">
      <alignment horizontal="center" vertical="center" wrapText="1"/>
    </xf>
    <xf numFmtId="0" fontId="32" fillId="2" borderId="11" xfId="0" applyFont="1" applyFill="1" applyBorder="1" applyAlignment="1">
      <alignment horizontal="center" vertical="center" wrapText="1"/>
    </xf>
    <xf numFmtId="0" fontId="32" fillId="2" borderId="6" xfId="0" applyFont="1" applyFill="1" applyBorder="1" applyAlignment="1">
      <alignment horizontal="center" vertical="center" wrapText="1"/>
    </xf>
    <xf numFmtId="0" fontId="40" fillId="0" borderId="5" xfId="0" applyFont="1" applyBorder="1" applyAlignment="1">
      <alignment horizontal="center" vertical="center" textRotation="90"/>
    </xf>
    <xf numFmtId="0" fontId="40" fillId="0" borderId="10" xfId="0" applyFont="1" applyBorder="1" applyAlignment="1">
      <alignment horizontal="center" vertical="center"/>
    </xf>
    <xf numFmtId="0" fontId="40" fillId="0" borderId="11" xfId="0" applyFont="1" applyBorder="1" applyAlignment="1">
      <alignment horizontal="center" vertical="center"/>
    </xf>
    <xf numFmtId="0" fontId="40" fillId="0" borderId="6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7" fillId="0" borderId="3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6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0" fillId="19" borderId="0" xfId="0" applyFill="1"/>
    <xf numFmtId="0" fontId="57" fillId="19" borderId="28" xfId="0" applyFont="1" applyFill="1" applyBorder="1" applyAlignment="1"/>
  </cellXfs>
  <cellStyles count="3">
    <cellStyle name="Good" xfId="2" builtinId="26"/>
    <cellStyle name="Normal" xfId="0" builtinId="0"/>
    <cellStyle name="Percent" xfId="1" builtinId="5"/>
  </cellStyles>
  <dxfs count="0"/>
  <tableStyles count="0" defaultTableStyle="TableStyleMedium2" defaultPivotStyle="PivotStyleMedium9"/>
  <colors>
    <mruColors>
      <color rgb="FFA8F4FA"/>
      <color rgb="FFFF99CC"/>
      <color rgb="FFFFB7DB"/>
      <color rgb="FF66FFCC"/>
      <color rgb="FFFF9999"/>
      <color rgb="FFD7D7D7"/>
      <color rgb="FF00CC99"/>
      <color rgb="FFF1FDFD"/>
      <color rgb="FFA3FFE0"/>
      <color rgb="FFB8E8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388620</xdr:colOff>
      <xdr:row>19</xdr:row>
      <xdr:rowOff>0</xdr:rowOff>
    </xdr:from>
    <xdr:to>
      <xdr:col>8</xdr:col>
      <xdr:colOff>168564</xdr:colOff>
      <xdr:row>34</xdr:row>
      <xdr:rowOff>86781</xdr:rowOff>
    </xdr:to>
    <xdr:pic>
      <xdr:nvPicPr>
        <xdr:cNvPr id="2" name="Picture 1" descr="image">
          <a:extLst>
            <a:ext uri="{FF2B5EF4-FFF2-40B4-BE49-F238E27FC236}">
              <a16:creationId xmlns:a16="http://schemas.microsoft.com/office/drawing/2014/main" id="{5E7E1948-83EE-4A4E-B97F-25F92BFC3D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30470" y="5599897"/>
          <a:ext cx="2046894" cy="2711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388620</xdr:colOff>
      <xdr:row>19</xdr:row>
      <xdr:rowOff>0</xdr:rowOff>
    </xdr:from>
    <xdr:to>
      <xdr:col>9</xdr:col>
      <xdr:colOff>244764</xdr:colOff>
      <xdr:row>39</xdr:row>
      <xdr:rowOff>134429</xdr:rowOff>
    </xdr:to>
    <xdr:pic>
      <xdr:nvPicPr>
        <xdr:cNvPr id="2" name="Picture 1" descr="image">
          <a:extLst>
            <a:ext uri="{FF2B5EF4-FFF2-40B4-BE49-F238E27FC236}">
              <a16:creationId xmlns:a16="http://schemas.microsoft.com/office/drawing/2014/main" id="{9A49D0D9-64A8-41CE-A858-82FF857E44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30470" y="5002997"/>
          <a:ext cx="2104044" cy="38352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ColWidth="9.109375" defaultRowHeight="14.4" x14ac:dyDescent="0.3"/>
  <cols>
    <col min="1" max="16384" width="9.109375" style="2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5:E13"/>
  <sheetViews>
    <sheetView showGridLines="0" zoomScale="115" zoomScaleNormal="115" workbookViewId="0">
      <selection activeCell="E11" sqref="E11"/>
    </sheetView>
  </sheetViews>
  <sheetFormatPr defaultRowHeight="14.4" x14ac:dyDescent="0.3"/>
  <cols>
    <col min="2" max="2" width="38" customWidth="1"/>
    <col min="5" max="5" width="90.88671875" bestFit="1" customWidth="1"/>
  </cols>
  <sheetData>
    <row r="5" spans="4:5" x14ac:dyDescent="0.3">
      <c r="D5" s="332" t="s">
        <v>0</v>
      </c>
      <c r="E5" s="333"/>
    </row>
    <row r="6" spans="4:5" x14ac:dyDescent="0.3">
      <c r="D6" s="4">
        <v>1</v>
      </c>
      <c r="E6" s="27" t="s">
        <v>1</v>
      </c>
    </row>
    <row r="7" spans="4:5" x14ac:dyDescent="0.3">
      <c r="D7" s="4">
        <v>2</v>
      </c>
      <c r="E7" s="27" t="s">
        <v>2</v>
      </c>
    </row>
    <row r="8" spans="4:5" x14ac:dyDescent="0.3">
      <c r="D8" s="4">
        <v>3</v>
      </c>
      <c r="E8" s="27" t="s">
        <v>3</v>
      </c>
    </row>
    <row r="9" spans="4:5" x14ac:dyDescent="0.3">
      <c r="D9" s="4">
        <v>4</v>
      </c>
      <c r="E9" s="27" t="s">
        <v>4</v>
      </c>
    </row>
    <row r="10" spans="4:5" x14ac:dyDescent="0.3">
      <c r="D10" s="4">
        <v>5</v>
      </c>
      <c r="E10" s="27" t="s">
        <v>5</v>
      </c>
    </row>
    <row r="11" spans="4:5" x14ac:dyDescent="0.3">
      <c r="D11" s="4">
        <v>6</v>
      </c>
      <c r="E11" s="27" t="s">
        <v>6</v>
      </c>
    </row>
    <row r="12" spans="4:5" x14ac:dyDescent="0.3">
      <c r="D12" s="4">
        <v>7</v>
      </c>
      <c r="E12" s="27" t="s">
        <v>7</v>
      </c>
    </row>
    <row r="13" spans="4:5" x14ac:dyDescent="0.3">
      <c r="D13" s="4">
        <v>8</v>
      </c>
      <c r="E13" s="27" t="s">
        <v>8</v>
      </c>
    </row>
  </sheetData>
  <mergeCells count="1">
    <mergeCell ref="D5:E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5337-462F-4B32-B51B-087F1C3F0A34}">
  <dimension ref="A1:C23"/>
  <sheetViews>
    <sheetView workbookViewId="0">
      <selection activeCell="A5" sqref="A5"/>
    </sheetView>
  </sheetViews>
  <sheetFormatPr defaultRowHeight="14.4" x14ac:dyDescent="0.3"/>
  <cols>
    <col min="1" max="1" width="27.88671875" bestFit="1" customWidth="1"/>
  </cols>
  <sheetData>
    <row r="1" spans="1:3" ht="16.2" thickBot="1" x14ac:dyDescent="0.35">
      <c r="A1" s="127" t="s">
        <v>9</v>
      </c>
      <c r="B1" s="334" t="s">
        <v>10</v>
      </c>
      <c r="C1" s="334"/>
    </row>
    <row r="2" spans="1:3" x14ac:dyDescent="0.3">
      <c r="A2" s="128" t="s">
        <v>11</v>
      </c>
      <c r="B2" s="129">
        <v>0.8</v>
      </c>
      <c r="C2" s="335">
        <v>1</v>
      </c>
    </row>
    <row r="3" spans="1:3" ht="15" thickBot="1" x14ac:dyDescent="0.35">
      <c r="A3" s="130" t="s">
        <v>12</v>
      </c>
      <c r="B3" s="131">
        <v>0.2</v>
      </c>
      <c r="C3" s="336"/>
    </row>
    <row r="4" spans="1:3" x14ac:dyDescent="0.3">
      <c r="B4" s="132"/>
      <c r="C4" s="132"/>
    </row>
    <row r="5" spans="1:3" x14ac:dyDescent="0.3">
      <c r="B5" s="132"/>
      <c r="C5" s="132"/>
    </row>
    <row r="6" spans="1:3" x14ac:dyDescent="0.3">
      <c r="B6" s="132"/>
      <c r="C6" s="132"/>
    </row>
    <row r="7" spans="1:3" x14ac:dyDescent="0.3">
      <c r="B7" s="132"/>
      <c r="C7" s="132"/>
    </row>
    <row r="8" spans="1:3" x14ac:dyDescent="0.3">
      <c r="B8" s="132"/>
      <c r="C8" s="132"/>
    </row>
    <row r="9" spans="1:3" x14ac:dyDescent="0.3">
      <c r="B9" s="132"/>
      <c r="C9" s="132"/>
    </row>
    <row r="10" spans="1:3" x14ac:dyDescent="0.3">
      <c r="B10" s="132"/>
      <c r="C10" s="132"/>
    </row>
    <row r="11" spans="1:3" x14ac:dyDescent="0.3">
      <c r="B11" s="132"/>
      <c r="C11" s="132"/>
    </row>
    <row r="12" spans="1:3" x14ac:dyDescent="0.3">
      <c r="B12" s="132"/>
      <c r="C12" s="132"/>
    </row>
    <row r="13" spans="1:3" x14ac:dyDescent="0.3">
      <c r="B13" s="132"/>
      <c r="C13" s="132"/>
    </row>
    <row r="14" spans="1:3" x14ac:dyDescent="0.3">
      <c r="B14" s="132"/>
      <c r="C14" s="132"/>
    </row>
    <row r="15" spans="1:3" x14ac:dyDescent="0.3">
      <c r="B15" s="132"/>
      <c r="C15" s="132"/>
    </row>
    <row r="16" spans="1:3" x14ac:dyDescent="0.3">
      <c r="B16" s="132"/>
      <c r="C16" s="132"/>
    </row>
    <row r="17" spans="2:3" x14ac:dyDescent="0.3">
      <c r="B17" s="132"/>
      <c r="C17" s="132"/>
    </row>
    <row r="18" spans="2:3" x14ac:dyDescent="0.3">
      <c r="B18" s="132"/>
      <c r="C18" s="132"/>
    </row>
    <row r="19" spans="2:3" x14ac:dyDescent="0.3">
      <c r="B19" s="132"/>
      <c r="C19" s="132"/>
    </row>
    <row r="20" spans="2:3" x14ac:dyDescent="0.3">
      <c r="B20" s="132"/>
    </row>
    <row r="21" spans="2:3" x14ac:dyDescent="0.3">
      <c r="B21" s="132"/>
    </row>
    <row r="22" spans="2:3" x14ac:dyDescent="0.3">
      <c r="B22" s="132"/>
    </row>
    <row r="23" spans="2:3" x14ac:dyDescent="0.3">
      <c r="B23" s="132"/>
    </row>
  </sheetData>
  <mergeCells count="2">
    <mergeCell ref="B1:C1"/>
    <mergeCell ref="C2:C3"/>
  </mergeCells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DE93D-26B2-4202-8587-257FF0D68489}">
  <sheetPr filterMode="1"/>
  <dimension ref="A1:CA52"/>
  <sheetViews>
    <sheetView topLeftCell="BK1" zoomScale="80" zoomScaleNormal="80" workbookViewId="0">
      <selection activeCell="BU2" sqref="BU2"/>
    </sheetView>
  </sheetViews>
  <sheetFormatPr defaultRowHeight="14.4" x14ac:dyDescent="0.3"/>
  <cols>
    <col min="12" max="12" width="19" customWidth="1"/>
    <col min="16" max="16" width="13.109375" customWidth="1"/>
    <col min="62" max="62" width="9.109375" customWidth="1"/>
  </cols>
  <sheetData>
    <row r="1" spans="1:78" s="309" customFormat="1" ht="35.25" customHeight="1" x14ac:dyDescent="0.3">
      <c r="A1" s="308"/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 t="s">
        <v>334</v>
      </c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 t="s">
        <v>370</v>
      </c>
      <c r="AB1" s="308"/>
      <c r="AC1" s="308"/>
      <c r="AD1" s="308"/>
      <c r="AE1" s="308"/>
      <c r="AF1" s="308"/>
      <c r="AG1" s="308"/>
      <c r="AH1" s="308"/>
      <c r="AI1" s="308"/>
      <c r="AJ1" s="308"/>
      <c r="AK1" s="308"/>
      <c r="AL1" s="308"/>
      <c r="AM1" s="308"/>
      <c r="AN1" s="308"/>
      <c r="AO1" s="308"/>
      <c r="AP1" s="308"/>
      <c r="AQ1" s="308"/>
      <c r="AR1" s="308"/>
      <c r="AS1" s="308"/>
      <c r="AT1" s="308"/>
      <c r="AU1" s="308"/>
      <c r="AV1" s="308"/>
      <c r="AW1" s="308"/>
      <c r="AX1" s="308"/>
      <c r="AY1" s="308"/>
      <c r="AZ1" s="308"/>
      <c r="BA1" s="308"/>
      <c r="BB1" s="308"/>
      <c r="BC1" s="308"/>
      <c r="BD1" s="308"/>
      <c r="BE1" s="308"/>
      <c r="BF1" s="308"/>
      <c r="BG1" s="308"/>
      <c r="BH1" s="308"/>
      <c r="BI1" s="308"/>
      <c r="BJ1" s="308"/>
      <c r="BK1" s="308"/>
      <c r="BL1" s="308"/>
      <c r="BM1" s="308"/>
      <c r="BN1" s="308"/>
      <c r="BO1" s="308"/>
      <c r="BP1" s="308"/>
      <c r="BQ1" s="308"/>
      <c r="BR1" s="308"/>
      <c r="BS1" s="308"/>
    </row>
    <row r="2" spans="1:78" ht="46.5" customHeight="1" x14ac:dyDescent="0.3">
      <c r="A2" s="299" t="s">
        <v>451</v>
      </c>
      <c r="B2" s="299" t="s">
        <v>452</v>
      </c>
      <c r="C2" s="299" t="s">
        <v>453</v>
      </c>
      <c r="D2" s="300" t="s">
        <v>454</v>
      </c>
      <c r="E2" s="301" t="s">
        <v>455</v>
      </c>
      <c r="F2" s="301" t="s">
        <v>456</v>
      </c>
      <c r="G2" s="300" t="s">
        <v>457</v>
      </c>
      <c r="H2" s="300" t="s">
        <v>458</v>
      </c>
      <c r="I2" s="299" t="s">
        <v>459</v>
      </c>
      <c r="J2" s="299" t="s">
        <v>460</v>
      </c>
      <c r="K2" s="299" t="s">
        <v>461</v>
      </c>
      <c r="L2" s="299" t="s">
        <v>462</v>
      </c>
      <c r="M2" s="299" t="s">
        <v>463</v>
      </c>
      <c r="N2" s="299" t="s">
        <v>393</v>
      </c>
      <c r="O2" s="299" t="s">
        <v>464</v>
      </c>
      <c r="P2" s="299" t="s">
        <v>558</v>
      </c>
      <c r="Q2" s="299" t="s">
        <v>465</v>
      </c>
      <c r="R2" s="299" t="s">
        <v>558</v>
      </c>
      <c r="S2" s="300" t="s">
        <v>466</v>
      </c>
      <c r="T2" s="299" t="s">
        <v>558</v>
      </c>
      <c r="U2" s="299" t="s">
        <v>548</v>
      </c>
      <c r="V2" s="299" t="s">
        <v>558</v>
      </c>
      <c r="W2" s="300" t="s">
        <v>549</v>
      </c>
      <c r="X2" s="299" t="s">
        <v>558</v>
      </c>
      <c r="Y2" s="299" t="s">
        <v>467</v>
      </c>
      <c r="Z2" s="299" t="s">
        <v>558</v>
      </c>
      <c r="AA2" s="299" t="s">
        <v>404</v>
      </c>
      <c r="AB2" s="299" t="s">
        <v>344</v>
      </c>
      <c r="AC2" s="299" t="s">
        <v>345</v>
      </c>
      <c r="AD2" s="299" t="s">
        <v>346</v>
      </c>
      <c r="AE2" s="299" t="s">
        <v>312</v>
      </c>
      <c r="AF2" s="299" t="s">
        <v>36</v>
      </c>
      <c r="AG2" s="299" t="s">
        <v>37</v>
      </c>
      <c r="AH2" s="299" t="s">
        <v>38</v>
      </c>
      <c r="AI2" s="299" t="s">
        <v>40</v>
      </c>
      <c r="AJ2" s="299" t="s">
        <v>547</v>
      </c>
      <c r="AK2" s="299" t="s">
        <v>278</v>
      </c>
      <c r="AL2" s="299" t="s">
        <v>468</v>
      </c>
      <c r="AM2" s="299" t="s">
        <v>558</v>
      </c>
      <c r="AN2" s="299" t="s">
        <v>469</v>
      </c>
      <c r="AO2" s="299" t="s">
        <v>470</v>
      </c>
      <c r="AP2" s="299" t="s">
        <v>471</v>
      </c>
      <c r="AQ2" s="299" t="s">
        <v>472</v>
      </c>
      <c r="AR2" s="299" t="s">
        <v>473</v>
      </c>
      <c r="AS2" s="300" t="s">
        <v>474</v>
      </c>
      <c r="AT2" s="299" t="s">
        <v>475</v>
      </c>
      <c r="AU2" s="300" t="s">
        <v>476</v>
      </c>
      <c r="AV2" s="299" t="s">
        <v>477</v>
      </c>
      <c r="AW2" s="299" t="s">
        <v>478</v>
      </c>
      <c r="AX2" s="299" t="s">
        <v>479</v>
      </c>
      <c r="AY2" s="299" t="s">
        <v>480</v>
      </c>
      <c r="AZ2" s="299" t="s">
        <v>481</v>
      </c>
      <c r="BA2" s="299" t="s">
        <v>482</v>
      </c>
      <c r="BB2" s="299" t="s">
        <v>483</v>
      </c>
      <c r="BC2" s="299" t="s">
        <v>484</v>
      </c>
      <c r="BD2" s="299" t="s">
        <v>408</v>
      </c>
      <c r="BE2" s="299" t="s">
        <v>485</v>
      </c>
      <c r="BF2" s="299" t="s">
        <v>486</v>
      </c>
      <c r="BG2" s="299" t="s">
        <v>487</v>
      </c>
      <c r="BH2" s="299" t="s">
        <v>488</v>
      </c>
      <c r="BI2" s="299" t="s">
        <v>489</v>
      </c>
      <c r="BJ2" s="299" t="s">
        <v>488</v>
      </c>
      <c r="BK2" s="302" t="s">
        <v>490</v>
      </c>
      <c r="BL2" s="302" t="s">
        <v>410</v>
      </c>
      <c r="BM2" s="302" t="s">
        <v>444</v>
      </c>
      <c r="BN2" s="302" t="s">
        <v>421</v>
      </c>
      <c r="BO2" s="302" t="s">
        <v>443</v>
      </c>
      <c r="BP2" s="302" t="s">
        <v>445</v>
      </c>
      <c r="BQ2" s="302" t="s">
        <v>419</v>
      </c>
      <c r="BR2" s="302" t="s">
        <v>491</v>
      </c>
      <c r="BS2" s="302" t="s">
        <v>492</v>
      </c>
      <c r="BT2" s="302" t="s">
        <v>493</v>
      </c>
      <c r="BU2" s="303" t="s">
        <v>494</v>
      </c>
      <c r="BV2" s="299" t="s">
        <v>495</v>
      </c>
      <c r="BW2" s="303" t="s">
        <v>496</v>
      </c>
      <c r="BX2" s="304"/>
      <c r="BY2" s="305"/>
    </row>
    <row r="3" spans="1:78" hidden="1" x14ac:dyDescent="0.3">
      <c r="A3" s="306">
        <v>1</v>
      </c>
      <c r="B3" s="306" t="s">
        <v>497</v>
      </c>
      <c r="C3" s="306" t="s">
        <v>498</v>
      </c>
      <c r="D3" s="306" t="s">
        <v>499</v>
      </c>
      <c r="E3" s="306" t="s">
        <v>556</v>
      </c>
      <c r="F3" s="306" t="s">
        <v>557</v>
      </c>
      <c r="G3" s="306">
        <v>15</v>
      </c>
      <c r="H3" s="306" t="s">
        <v>500</v>
      </c>
      <c r="I3" s="306" t="s">
        <v>20</v>
      </c>
      <c r="J3" s="306" t="s">
        <v>20</v>
      </c>
      <c r="K3" s="306" t="s">
        <v>20</v>
      </c>
      <c r="L3" s="306" t="s">
        <v>20</v>
      </c>
      <c r="M3" s="306" t="s">
        <v>501</v>
      </c>
      <c r="N3" s="306" t="s">
        <v>20</v>
      </c>
      <c r="O3" s="306" t="s">
        <v>20</v>
      </c>
      <c r="P3" s="306" t="s">
        <v>560</v>
      </c>
      <c r="Q3" s="306" t="s">
        <v>411</v>
      </c>
      <c r="R3" s="306" t="s">
        <v>559</v>
      </c>
      <c r="S3" s="306" t="s">
        <v>20</v>
      </c>
      <c r="T3" s="306" t="s">
        <v>571</v>
      </c>
      <c r="U3" s="306" t="s">
        <v>502</v>
      </c>
      <c r="V3" s="306"/>
      <c r="W3" s="306" t="s">
        <v>502</v>
      </c>
      <c r="X3" s="306"/>
      <c r="Y3" s="306" t="s">
        <v>502</v>
      </c>
      <c r="Z3" s="306"/>
      <c r="AA3" s="306" t="s">
        <v>502</v>
      </c>
      <c r="AB3" s="306" t="s">
        <v>502</v>
      </c>
      <c r="AC3" s="306" t="s">
        <v>502</v>
      </c>
      <c r="AD3" s="306" t="s">
        <v>502</v>
      </c>
      <c r="AE3" s="306" t="s">
        <v>502</v>
      </c>
      <c r="AF3" s="306" t="s">
        <v>502</v>
      </c>
      <c r="AG3" s="306" t="s">
        <v>502</v>
      </c>
      <c r="AH3" s="306" t="s">
        <v>502</v>
      </c>
      <c r="AI3" s="306" t="s">
        <v>502</v>
      </c>
      <c r="AJ3" s="306" t="s">
        <v>502</v>
      </c>
      <c r="AK3" s="306" t="s">
        <v>502</v>
      </c>
      <c r="AL3" s="306" t="s">
        <v>502</v>
      </c>
      <c r="AM3" s="306"/>
      <c r="AN3" s="306" t="s">
        <v>502</v>
      </c>
      <c r="AO3" s="306" t="s">
        <v>502</v>
      </c>
      <c r="AP3" s="306" t="s">
        <v>502</v>
      </c>
      <c r="AQ3" s="306" t="s">
        <v>502</v>
      </c>
      <c r="AR3" s="306" t="s">
        <v>502</v>
      </c>
      <c r="AS3" s="306" t="s">
        <v>502</v>
      </c>
      <c r="AT3" s="306" t="s">
        <v>502</v>
      </c>
      <c r="AU3" s="306" t="s">
        <v>502</v>
      </c>
      <c r="AV3" s="306" t="s">
        <v>502</v>
      </c>
      <c r="AW3" s="306" t="s">
        <v>502</v>
      </c>
      <c r="AX3" s="306" t="s">
        <v>502</v>
      </c>
      <c r="AY3" s="306" t="s">
        <v>502</v>
      </c>
      <c r="AZ3" s="306" t="s">
        <v>502</v>
      </c>
      <c r="BA3" s="306" t="s">
        <v>502</v>
      </c>
      <c r="BB3" s="306" t="s">
        <v>502</v>
      </c>
      <c r="BC3" s="306" t="s">
        <v>502</v>
      </c>
      <c r="BD3" s="306" t="s">
        <v>502</v>
      </c>
      <c r="BE3" s="306" t="s">
        <v>502</v>
      </c>
      <c r="BF3" s="306" t="s">
        <v>502</v>
      </c>
      <c r="BG3" s="306" t="s">
        <v>502</v>
      </c>
      <c r="BH3" s="306" t="s">
        <v>502</v>
      </c>
      <c r="BI3" s="306" t="s">
        <v>502</v>
      </c>
      <c r="BJ3" s="306" t="s">
        <v>502</v>
      </c>
      <c r="BK3" s="306" t="s">
        <v>502</v>
      </c>
      <c r="BL3" s="306" t="s">
        <v>502</v>
      </c>
      <c r="BM3" s="306" t="s">
        <v>502</v>
      </c>
      <c r="BN3" s="306" t="s">
        <v>502</v>
      </c>
      <c r="BO3" s="306" t="s">
        <v>502</v>
      </c>
      <c r="BP3" s="306" t="s">
        <v>502</v>
      </c>
      <c r="BQ3" s="306" t="s">
        <v>502</v>
      </c>
      <c r="BR3" s="306" t="s">
        <v>502</v>
      </c>
      <c r="BS3" s="306" t="s">
        <v>411</v>
      </c>
      <c r="BT3" s="306" t="s">
        <v>20</v>
      </c>
      <c r="BU3" s="306">
        <v>10</v>
      </c>
      <c r="BV3" s="306" t="s">
        <v>503</v>
      </c>
      <c r="BW3" s="306"/>
      <c r="BX3" s="306"/>
    </row>
    <row r="4" spans="1:78" hidden="1" x14ac:dyDescent="0.3">
      <c r="A4" s="306">
        <v>2</v>
      </c>
      <c r="B4" s="306" t="s">
        <v>504</v>
      </c>
      <c r="C4" s="306" t="s">
        <v>505</v>
      </c>
      <c r="D4" s="306" t="s">
        <v>499</v>
      </c>
      <c r="E4" s="306" t="s">
        <v>561</v>
      </c>
      <c r="F4" s="306" t="s">
        <v>562</v>
      </c>
      <c r="G4" s="306">
        <v>2</v>
      </c>
      <c r="H4" s="306" t="s">
        <v>500</v>
      </c>
      <c r="I4" s="306" t="s">
        <v>411</v>
      </c>
      <c r="J4" s="306" t="s">
        <v>20</v>
      </c>
      <c r="K4" s="306" t="s">
        <v>20</v>
      </c>
      <c r="L4" s="306" t="s">
        <v>411</v>
      </c>
      <c r="M4" s="306" t="s">
        <v>563</v>
      </c>
      <c r="N4" s="306" t="s">
        <v>411</v>
      </c>
      <c r="O4" s="306" t="s">
        <v>411</v>
      </c>
      <c r="P4" s="306" t="s">
        <v>564</v>
      </c>
      <c r="Q4" s="306" t="s">
        <v>411</v>
      </c>
      <c r="R4" s="306" t="s">
        <v>565</v>
      </c>
      <c r="S4" s="306" t="s">
        <v>411</v>
      </c>
      <c r="T4" s="306" t="s">
        <v>646</v>
      </c>
      <c r="U4" s="306" t="s">
        <v>502</v>
      </c>
      <c r="V4" s="306"/>
      <c r="W4" s="306" t="s">
        <v>502</v>
      </c>
      <c r="X4" s="306"/>
      <c r="Y4" s="306" t="s">
        <v>502</v>
      </c>
      <c r="Z4" s="306"/>
      <c r="AA4" s="306" t="s">
        <v>502</v>
      </c>
      <c r="AB4" s="306" t="s">
        <v>502</v>
      </c>
      <c r="AC4" s="306" t="s">
        <v>502</v>
      </c>
      <c r="AD4" s="306" t="s">
        <v>502</v>
      </c>
      <c r="AE4" s="306" t="s">
        <v>502</v>
      </c>
      <c r="AF4" s="306" t="s">
        <v>502</v>
      </c>
      <c r="AG4" s="306" t="s">
        <v>502</v>
      </c>
      <c r="AH4" s="306" t="s">
        <v>502</v>
      </c>
      <c r="AI4" s="306" t="s">
        <v>502</v>
      </c>
      <c r="AJ4" s="306" t="s">
        <v>502</v>
      </c>
      <c r="AK4" s="306" t="s">
        <v>502</v>
      </c>
      <c r="AL4" s="306" t="s">
        <v>502</v>
      </c>
      <c r="AM4" s="306"/>
      <c r="AN4" s="306" t="s">
        <v>502</v>
      </c>
      <c r="AO4" s="306" t="s">
        <v>502</v>
      </c>
      <c r="AP4" s="306" t="s">
        <v>502</v>
      </c>
      <c r="AQ4" s="306" t="s">
        <v>502</v>
      </c>
      <c r="AR4" s="306" t="s">
        <v>502</v>
      </c>
      <c r="AS4" s="306" t="s">
        <v>502</v>
      </c>
      <c r="AT4" s="306" t="s">
        <v>502</v>
      </c>
      <c r="AU4" s="306" t="s">
        <v>502</v>
      </c>
      <c r="AV4" s="306" t="s">
        <v>502</v>
      </c>
      <c r="AW4" s="306" t="s">
        <v>502</v>
      </c>
      <c r="AX4" s="306" t="s">
        <v>502</v>
      </c>
      <c r="AY4" s="306" t="s">
        <v>502</v>
      </c>
      <c r="AZ4" s="306" t="s">
        <v>502</v>
      </c>
      <c r="BA4" s="306" t="s">
        <v>502</v>
      </c>
      <c r="BB4" s="306" t="s">
        <v>502</v>
      </c>
      <c r="BC4" s="306" t="s">
        <v>502</v>
      </c>
      <c r="BD4" s="306" t="s">
        <v>502</v>
      </c>
      <c r="BE4" s="306" t="s">
        <v>502</v>
      </c>
      <c r="BF4" s="306" t="s">
        <v>502</v>
      </c>
      <c r="BG4" s="306" t="s">
        <v>502</v>
      </c>
      <c r="BH4" s="306" t="s">
        <v>502</v>
      </c>
      <c r="BI4" s="306" t="s">
        <v>502</v>
      </c>
      <c r="BJ4" s="306" t="s">
        <v>502</v>
      </c>
      <c r="BK4" s="306" t="s">
        <v>502</v>
      </c>
      <c r="BL4" s="306" t="s">
        <v>502</v>
      </c>
      <c r="BM4" s="306" t="s">
        <v>502</v>
      </c>
      <c r="BN4" s="306" t="s">
        <v>502</v>
      </c>
      <c r="BO4" s="306" t="s">
        <v>502</v>
      </c>
      <c r="BP4" s="306" t="s">
        <v>502</v>
      </c>
      <c r="BQ4" s="306" t="s">
        <v>502</v>
      </c>
      <c r="BR4" s="306" t="s">
        <v>502</v>
      </c>
      <c r="BS4" s="306" t="s">
        <v>411</v>
      </c>
      <c r="BT4" s="306" t="s">
        <v>20</v>
      </c>
      <c r="BU4" s="306">
        <v>9</v>
      </c>
      <c r="BV4" s="306" t="s">
        <v>506</v>
      </c>
      <c r="BW4" s="306" t="s">
        <v>507</v>
      </c>
      <c r="BX4" s="306"/>
    </row>
    <row r="5" spans="1:78" hidden="1" x14ac:dyDescent="0.3">
      <c r="A5" s="306">
        <v>3</v>
      </c>
      <c r="B5" s="306" t="s">
        <v>508</v>
      </c>
      <c r="C5" s="306" t="s">
        <v>509</v>
      </c>
      <c r="D5" s="306" t="s">
        <v>510</v>
      </c>
      <c r="E5" s="306" t="s">
        <v>566</v>
      </c>
      <c r="F5" s="306" t="s">
        <v>567</v>
      </c>
      <c r="G5" s="306">
        <v>2</v>
      </c>
      <c r="H5" s="306" t="s">
        <v>500</v>
      </c>
      <c r="I5" s="306" t="s">
        <v>20</v>
      </c>
      <c r="J5" s="306" t="s">
        <v>20</v>
      </c>
      <c r="K5" s="306" t="s">
        <v>20</v>
      </c>
      <c r="L5" s="306" t="s">
        <v>411</v>
      </c>
      <c r="M5" s="306" t="s">
        <v>570</v>
      </c>
      <c r="N5" s="306" t="s">
        <v>20</v>
      </c>
      <c r="O5" s="306" t="s">
        <v>411</v>
      </c>
      <c r="P5" s="306" t="s">
        <v>569</v>
      </c>
      <c r="Q5" s="306" t="s">
        <v>20</v>
      </c>
      <c r="R5" s="306" t="s">
        <v>568</v>
      </c>
      <c r="S5" s="306" t="s">
        <v>20</v>
      </c>
      <c r="T5" s="306" t="s">
        <v>572</v>
      </c>
      <c r="U5" s="306" t="s">
        <v>502</v>
      </c>
      <c r="V5" s="306"/>
      <c r="W5" s="306" t="s">
        <v>502</v>
      </c>
      <c r="X5" s="306"/>
      <c r="Y5" s="306" t="s">
        <v>502</v>
      </c>
      <c r="Z5" s="306"/>
      <c r="AA5" s="306" t="s">
        <v>502</v>
      </c>
      <c r="AB5" s="306" t="s">
        <v>502</v>
      </c>
      <c r="AC5" s="306" t="s">
        <v>502</v>
      </c>
      <c r="AD5" s="306" t="s">
        <v>502</v>
      </c>
      <c r="AE5" s="306" t="s">
        <v>502</v>
      </c>
      <c r="AF5" s="306" t="s">
        <v>502</v>
      </c>
      <c r="AG5" s="306" t="s">
        <v>502</v>
      </c>
      <c r="AH5" s="306" t="s">
        <v>502</v>
      </c>
      <c r="AI5" s="306" t="s">
        <v>502</v>
      </c>
      <c r="AJ5" s="306" t="s">
        <v>502</v>
      </c>
      <c r="AK5" s="306" t="s">
        <v>502</v>
      </c>
      <c r="AL5" s="306" t="s">
        <v>502</v>
      </c>
      <c r="AM5" s="306"/>
      <c r="AN5" s="306" t="s">
        <v>502</v>
      </c>
      <c r="AO5" s="306" t="s">
        <v>502</v>
      </c>
      <c r="AP5" s="306" t="s">
        <v>502</v>
      </c>
      <c r="AQ5" s="306" t="s">
        <v>502</v>
      </c>
      <c r="AR5" s="306" t="s">
        <v>502</v>
      </c>
      <c r="AS5" s="306" t="s">
        <v>502</v>
      </c>
      <c r="AT5" s="306" t="s">
        <v>502</v>
      </c>
      <c r="AU5" s="306" t="s">
        <v>502</v>
      </c>
      <c r="AV5" s="306" t="s">
        <v>502</v>
      </c>
      <c r="AW5" s="306" t="s">
        <v>502</v>
      </c>
      <c r="AX5" s="306" t="s">
        <v>502</v>
      </c>
      <c r="AY5" s="306" t="s">
        <v>502</v>
      </c>
      <c r="AZ5" s="306" t="s">
        <v>502</v>
      </c>
      <c r="BA5" s="306" t="s">
        <v>502</v>
      </c>
      <c r="BB5" s="306" t="s">
        <v>502</v>
      </c>
      <c r="BC5" s="306" t="s">
        <v>502</v>
      </c>
      <c r="BD5" s="306" t="s">
        <v>502</v>
      </c>
      <c r="BE5" s="306" t="s">
        <v>502</v>
      </c>
      <c r="BF5" s="306" t="s">
        <v>502</v>
      </c>
      <c r="BG5" s="306" t="s">
        <v>502</v>
      </c>
      <c r="BH5" s="306" t="s">
        <v>502</v>
      </c>
      <c r="BI5" s="306" t="s">
        <v>502</v>
      </c>
      <c r="BJ5" s="306" t="s">
        <v>502</v>
      </c>
      <c r="BK5" s="306" t="s">
        <v>502</v>
      </c>
      <c r="BL5" s="306" t="s">
        <v>502</v>
      </c>
      <c r="BM5" s="306" t="s">
        <v>502</v>
      </c>
      <c r="BN5" s="306" t="s">
        <v>502</v>
      </c>
      <c r="BO5" s="306" t="s">
        <v>502</v>
      </c>
      <c r="BP5" s="306" t="s">
        <v>502</v>
      </c>
      <c r="BQ5" s="306" t="s">
        <v>502</v>
      </c>
      <c r="BR5" s="306" t="s">
        <v>502</v>
      </c>
      <c r="BS5" s="306" t="s">
        <v>411</v>
      </c>
      <c r="BT5" s="306" t="s">
        <v>20</v>
      </c>
      <c r="BU5" s="306">
        <v>10</v>
      </c>
      <c r="BV5" s="306" t="s">
        <v>511</v>
      </c>
      <c r="BW5" s="306" t="s">
        <v>576</v>
      </c>
      <c r="BX5" s="306"/>
      <c r="BY5" s="306"/>
    </row>
    <row r="6" spans="1:78" hidden="1" x14ac:dyDescent="0.3">
      <c r="A6" s="306">
        <v>4</v>
      </c>
      <c r="B6" s="306" t="s">
        <v>512</v>
      </c>
      <c r="C6" s="306" t="s">
        <v>498</v>
      </c>
      <c r="D6" s="306" t="s">
        <v>510</v>
      </c>
      <c r="E6" s="306" t="s">
        <v>574</v>
      </c>
      <c r="F6" s="306" t="s">
        <v>575</v>
      </c>
      <c r="G6" s="306">
        <v>13</v>
      </c>
      <c r="H6" s="306" t="s">
        <v>500</v>
      </c>
      <c r="I6" s="306" t="s">
        <v>20</v>
      </c>
      <c r="J6" s="306" t="s">
        <v>20</v>
      </c>
      <c r="K6" s="306" t="s">
        <v>20</v>
      </c>
      <c r="L6" s="306" t="s">
        <v>20</v>
      </c>
      <c r="M6" s="306" t="s">
        <v>513</v>
      </c>
      <c r="N6" s="306" t="s">
        <v>20</v>
      </c>
      <c r="O6" s="306" t="s">
        <v>20</v>
      </c>
      <c r="P6" s="306" t="s">
        <v>573</v>
      </c>
      <c r="Q6" s="306" t="s">
        <v>20</v>
      </c>
      <c r="R6" s="306" t="s">
        <v>577</v>
      </c>
      <c r="S6" s="306" t="s">
        <v>20</v>
      </c>
      <c r="T6" s="306" t="s">
        <v>642</v>
      </c>
      <c r="U6" s="306" t="s">
        <v>502</v>
      </c>
      <c r="V6" s="306"/>
      <c r="W6" s="306" t="s">
        <v>502</v>
      </c>
      <c r="X6" s="306"/>
      <c r="Y6" s="306" t="s">
        <v>502</v>
      </c>
      <c r="Z6" s="306"/>
      <c r="AA6" s="306" t="s">
        <v>502</v>
      </c>
      <c r="AB6" s="306" t="s">
        <v>502</v>
      </c>
      <c r="AC6" s="306" t="s">
        <v>502</v>
      </c>
      <c r="AD6" s="306" t="s">
        <v>502</v>
      </c>
      <c r="AE6" s="306" t="s">
        <v>502</v>
      </c>
      <c r="AF6" s="306" t="s">
        <v>502</v>
      </c>
      <c r="AG6" s="306" t="s">
        <v>502</v>
      </c>
      <c r="AH6" s="306" t="s">
        <v>502</v>
      </c>
      <c r="AI6" s="306" t="s">
        <v>502</v>
      </c>
      <c r="AJ6" s="306" t="s">
        <v>502</v>
      </c>
      <c r="AK6" s="306" t="s">
        <v>502</v>
      </c>
      <c r="AL6" s="306" t="s">
        <v>502</v>
      </c>
      <c r="AM6" s="306"/>
      <c r="AN6" s="306" t="s">
        <v>502</v>
      </c>
      <c r="AO6" s="306" t="s">
        <v>502</v>
      </c>
      <c r="AP6" s="306" t="s">
        <v>502</v>
      </c>
      <c r="AQ6" s="306" t="s">
        <v>502</v>
      </c>
      <c r="AR6" s="306" t="s">
        <v>502</v>
      </c>
      <c r="AS6" s="306" t="s">
        <v>502</v>
      </c>
      <c r="AT6" s="306" t="s">
        <v>502</v>
      </c>
      <c r="AU6" s="306" t="s">
        <v>502</v>
      </c>
      <c r="AV6" s="306" t="s">
        <v>502</v>
      </c>
      <c r="AW6" s="306" t="s">
        <v>502</v>
      </c>
      <c r="AX6" s="306" t="s">
        <v>502</v>
      </c>
      <c r="AY6" s="306" t="s">
        <v>502</v>
      </c>
      <c r="AZ6" s="306" t="s">
        <v>502</v>
      </c>
      <c r="BA6" s="306" t="s">
        <v>502</v>
      </c>
      <c r="BB6" s="306" t="s">
        <v>502</v>
      </c>
      <c r="BC6" s="306" t="s">
        <v>502</v>
      </c>
      <c r="BD6" s="306" t="s">
        <v>502</v>
      </c>
      <c r="BE6" s="306" t="s">
        <v>502</v>
      </c>
      <c r="BF6" s="306" t="s">
        <v>502</v>
      </c>
      <c r="BG6" s="306" t="s">
        <v>502</v>
      </c>
      <c r="BH6" s="306" t="s">
        <v>502</v>
      </c>
      <c r="BI6" s="306" t="s">
        <v>502</v>
      </c>
      <c r="BJ6" s="306" t="s">
        <v>502</v>
      </c>
      <c r="BK6" s="306" t="s">
        <v>502</v>
      </c>
      <c r="BL6" s="306" t="s">
        <v>502</v>
      </c>
      <c r="BM6" s="306" t="s">
        <v>502</v>
      </c>
      <c r="BN6" s="306" t="s">
        <v>502</v>
      </c>
      <c r="BO6" s="306" t="s">
        <v>502</v>
      </c>
      <c r="BP6" s="306" t="s">
        <v>502</v>
      </c>
      <c r="BQ6" s="306" t="s">
        <v>502</v>
      </c>
      <c r="BR6" s="306" t="s">
        <v>502</v>
      </c>
      <c r="BS6" s="306" t="s">
        <v>411</v>
      </c>
      <c r="BT6" s="306" t="s">
        <v>20</v>
      </c>
      <c r="BU6" s="306">
        <v>10</v>
      </c>
      <c r="BV6" s="306" t="s">
        <v>514</v>
      </c>
      <c r="BW6" s="306" t="s">
        <v>515</v>
      </c>
      <c r="BX6" s="306"/>
      <c r="BY6" s="306"/>
    </row>
    <row r="7" spans="1:78" hidden="1" x14ac:dyDescent="0.3">
      <c r="A7" s="306">
        <v>5</v>
      </c>
      <c r="B7" s="306" t="s">
        <v>512</v>
      </c>
      <c r="C7" s="306" t="s">
        <v>516</v>
      </c>
      <c r="D7" s="306" t="s">
        <v>517</v>
      </c>
      <c r="E7" s="306" t="s">
        <v>578</v>
      </c>
      <c r="F7" s="306" t="s">
        <v>579</v>
      </c>
      <c r="G7" s="306">
        <v>2</v>
      </c>
      <c r="H7" s="306" t="s">
        <v>500</v>
      </c>
      <c r="I7" s="306" t="s">
        <v>20</v>
      </c>
      <c r="J7" s="306" t="s">
        <v>20</v>
      </c>
      <c r="K7" s="306" t="s">
        <v>20</v>
      </c>
      <c r="L7" s="306" t="s">
        <v>411</v>
      </c>
      <c r="M7" s="306" t="s">
        <v>580</v>
      </c>
      <c r="N7" s="306" t="s">
        <v>20</v>
      </c>
      <c r="O7" s="306" t="s">
        <v>411</v>
      </c>
      <c r="P7" s="306" t="s">
        <v>581</v>
      </c>
      <c r="Q7" s="306" t="s">
        <v>411</v>
      </c>
      <c r="R7" s="306" t="s">
        <v>582</v>
      </c>
      <c r="S7" s="306" t="s">
        <v>411</v>
      </c>
      <c r="T7" s="306" t="s">
        <v>583</v>
      </c>
      <c r="U7" s="306" t="s">
        <v>502</v>
      </c>
      <c r="V7" s="306"/>
      <c r="W7" s="306" t="s">
        <v>502</v>
      </c>
      <c r="X7" s="306"/>
      <c r="Y7" s="306" t="s">
        <v>502</v>
      </c>
      <c r="Z7" s="306"/>
      <c r="AA7" s="306" t="s">
        <v>502</v>
      </c>
      <c r="AB7" s="306" t="s">
        <v>502</v>
      </c>
      <c r="AC7" s="306" t="s">
        <v>502</v>
      </c>
      <c r="AD7" s="306" t="s">
        <v>502</v>
      </c>
      <c r="AE7" s="306" t="s">
        <v>502</v>
      </c>
      <c r="AF7" s="306" t="s">
        <v>502</v>
      </c>
      <c r="AG7" s="306" t="s">
        <v>502</v>
      </c>
      <c r="AH7" s="306" t="s">
        <v>502</v>
      </c>
      <c r="AI7" s="306" t="s">
        <v>502</v>
      </c>
      <c r="AJ7" s="306" t="s">
        <v>502</v>
      </c>
      <c r="AK7" s="306" t="s">
        <v>502</v>
      </c>
      <c r="AL7" s="306" t="s">
        <v>502</v>
      </c>
      <c r="AM7" s="306"/>
      <c r="AN7" s="306" t="s">
        <v>502</v>
      </c>
      <c r="AO7" s="306" t="s">
        <v>502</v>
      </c>
      <c r="AP7" s="306" t="s">
        <v>502</v>
      </c>
      <c r="AQ7" s="306" t="s">
        <v>502</v>
      </c>
      <c r="AR7" s="306" t="s">
        <v>502</v>
      </c>
      <c r="AS7" s="306" t="s">
        <v>502</v>
      </c>
      <c r="AT7" s="306" t="s">
        <v>502</v>
      </c>
      <c r="AU7" s="306" t="s">
        <v>502</v>
      </c>
      <c r="AV7" s="306" t="s">
        <v>502</v>
      </c>
      <c r="AW7" s="306" t="s">
        <v>502</v>
      </c>
      <c r="AX7" s="306" t="s">
        <v>502</v>
      </c>
      <c r="AY7" s="306" t="s">
        <v>502</v>
      </c>
      <c r="AZ7" s="306" t="s">
        <v>502</v>
      </c>
      <c r="BA7" s="306" t="s">
        <v>502</v>
      </c>
      <c r="BB7" s="306" t="s">
        <v>502</v>
      </c>
      <c r="BC7" s="306" t="s">
        <v>502</v>
      </c>
      <c r="BD7" s="306" t="s">
        <v>502</v>
      </c>
      <c r="BE7" s="306" t="s">
        <v>502</v>
      </c>
      <c r="BF7" s="306" t="s">
        <v>502</v>
      </c>
      <c r="BG7" s="306" t="s">
        <v>502</v>
      </c>
      <c r="BH7" s="306" t="s">
        <v>502</v>
      </c>
      <c r="BI7" s="306" t="s">
        <v>502</v>
      </c>
      <c r="BJ7" s="306" t="s">
        <v>502</v>
      </c>
      <c r="BK7" s="306" t="s">
        <v>502</v>
      </c>
      <c r="BL7" s="306" t="s">
        <v>502</v>
      </c>
      <c r="BM7" s="306" t="s">
        <v>502</v>
      </c>
      <c r="BN7" s="306" t="s">
        <v>502</v>
      </c>
      <c r="BO7" s="306" t="s">
        <v>502</v>
      </c>
      <c r="BP7" s="306" t="s">
        <v>502</v>
      </c>
      <c r="BQ7" s="306" t="s">
        <v>502</v>
      </c>
      <c r="BR7" s="306" t="s">
        <v>502</v>
      </c>
      <c r="BS7" s="306" t="s">
        <v>411</v>
      </c>
      <c r="BT7" s="306" t="s">
        <v>20</v>
      </c>
      <c r="BU7" s="306">
        <v>10</v>
      </c>
      <c r="BV7" s="306" t="s">
        <v>518</v>
      </c>
      <c r="BW7" s="306" t="s">
        <v>519</v>
      </c>
      <c r="BX7" s="306"/>
      <c r="BY7" s="306"/>
    </row>
    <row r="8" spans="1:78" hidden="1" x14ac:dyDescent="0.3">
      <c r="A8" s="306">
        <v>6</v>
      </c>
      <c r="B8" s="306" t="s">
        <v>520</v>
      </c>
      <c r="C8" s="306" t="s">
        <v>498</v>
      </c>
      <c r="D8" s="306" t="s">
        <v>552</v>
      </c>
      <c r="E8" s="307" t="s">
        <v>554</v>
      </c>
      <c r="F8" s="307" t="s">
        <v>555</v>
      </c>
      <c r="G8" s="306">
        <v>18</v>
      </c>
      <c r="H8" s="306" t="s">
        <v>521</v>
      </c>
      <c r="I8" s="306" t="s">
        <v>20</v>
      </c>
      <c r="J8" s="306" t="s">
        <v>20</v>
      </c>
      <c r="K8" s="306" t="s">
        <v>20</v>
      </c>
      <c r="L8" s="306" t="s">
        <v>20</v>
      </c>
      <c r="M8" s="306" t="s">
        <v>522</v>
      </c>
      <c r="N8" s="306" t="s">
        <v>20</v>
      </c>
      <c r="O8" s="306" t="s">
        <v>20</v>
      </c>
      <c r="P8" s="306" t="s">
        <v>584</v>
      </c>
      <c r="Q8" s="306" t="s">
        <v>502</v>
      </c>
      <c r="R8" s="306"/>
      <c r="S8" s="306" t="s">
        <v>502</v>
      </c>
      <c r="T8" s="306"/>
      <c r="U8" s="306" t="s">
        <v>20</v>
      </c>
      <c r="V8" s="306" t="s">
        <v>587</v>
      </c>
      <c r="W8" s="306" t="s">
        <v>20</v>
      </c>
      <c r="X8" s="306" t="s">
        <v>585</v>
      </c>
      <c r="Y8" s="306" t="s">
        <v>20</v>
      </c>
      <c r="Z8" s="306" t="s">
        <v>586</v>
      </c>
      <c r="AA8" s="306" t="s">
        <v>502</v>
      </c>
      <c r="AB8" s="306" t="s">
        <v>502</v>
      </c>
      <c r="AC8" s="306" t="s">
        <v>502</v>
      </c>
      <c r="AD8" s="306" t="s">
        <v>502</v>
      </c>
      <c r="AE8" s="306" t="s">
        <v>502</v>
      </c>
      <c r="AF8" s="306" t="s">
        <v>502</v>
      </c>
      <c r="AG8" s="306" t="s">
        <v>502</v>
      </c>
      <c r="AH8" s="306" t="s">
        <v>502</v>
      </c>
      <c r="AI8" s="306" t="s">
        <v>502</v>
      </c>
      <c r="AJ8" s="306" t="s">
        <v>502</v>
      </c>
      <c r="AK8" s="306" t="s">
        <v>502</v>
      </c>
      <c r="AL8" s="306" t="s">
        <v>20</v>
      </c>
      <c r="AM8" s="306" t="s">
        <v>599</v>
      </c>
      <c r="AN8" s="306" t="s">
        <v>20</v>
      </c>
      <c r="AO8" s="306" t="s">
        <v>20</v>
      </c>
      <c r="AP8" s="306" t="s">
        <v>20</v>
      </c>
      <c r="AQ8" s="306" t="s">
        <v>20</v>
      </c>
      <c r="AR8" s="306" t="s">
        <v>20</v>
      </c>
      <c r="AS8" s="306" t="s">
        <v>20</v>
      </c>
      <c r="AT8" s="306" t="s">
        <v>20</v>
      </c>
      <c r="AU8" s="306" t="s">
        <v>20</v>
      </c>
      <c r="AV8" s="306" t="s">
        <v>20</v>
      </c>
      <c r="AW8" s="306" t="s">
        <v>20</v>
      </c>
      <c r="AX8" s="306" t="s">
        <v>20</v>
      </c>
      <c r="AY8" s="306" t="s">
        <v>20</v>
      </c>
      <c r="AZ8" s="306" t="s">
        <v>411</v>
      </c>
      <c r="BA8" s="306" t="s">
        <v>411</v>
      </c>
      <c r="BB8" s="306" t="s">
        <v>20</v>
      </c>
      <c r="BC8" s="306" t="s">
        <v>20</v>
      </c>
      <c r="BD8" s="306" t="s">
        <v>20</v>
      </c>
      <c r="BE8" s="306" t="s">
        <v>20</v>
      </c>
      <c r="BF8" s="306" t="s">
        <v>20</v>
      </c>
      <c r="BG8" s="306" t="s">
        <v>20</v>
      </c>
      <c r="BH8" s="306" t="s">
        <v>20</v>
      </c>
      <c r="BI8" s="306" t="s">
        <v>20</v>
      </c>
      <c r="BJ8" s="306" t="s">
        <v>20</v>
      </c>
      <c r="BK8" s="306" t="s">
        <v>411</v>
      </c>
      <c r="BL8" s="306" t="s">
        <v>502</v>
      </c>
      <c r="BM8" s="306" t="s">
        <v>502</v>
      </c>
      <c r="BN8" s="306" t="s">
        <v>502</v>
      </c>
      <c r="BO8" s="306" t="s">
        <v>502</v>
      </c>
      <c r="BP8" s="306" t="s">
        <v>502</v>
      </c>
      <c r="BQ8" s="306" t="s">
        <v>502</v>
      </c>
      <c r="BR8" s="306" t="s">
        <v>20</v>
      </c>
      <c r="BS8" s="306" t="s">
        <v>20</v>
      </c>
      <c r="BT8" s="306" t="s">
        <v>20</v>
      </c>
      <c r="BU8" s="306">
        <v>10</v>
      </c>
      <c r="BV8" s="306" t="s">
        <v>588</v>
      </c>
      <c r="BW8" s="306" t="s">
        <v>589</v>
      </c>
      <c r="BX8" s="306"/>
      <c r="BY8" s="306"/>
    </row>
    <row r="9" spans="1:78" hidden="1" x14ac:dyDescent="0.3">
      <c r="A9" s="306">
        <v>7</v>
      </c>
      <c r="B9" s="306" t="s">
        <v>523</v>
      </c>
      <c r="C9" s="306" t="s">
        <v>524</v>
      </c>
      <c r="D9" s="306" t="s">
        <v>510</v>
      </c>
      <c r="E9" s="307" t="s">
        <v>590</v>
      </c>
      <c r="F9" s="307" t="s">
        <v>556</v>
      </c>
      <c r="G9" s="306">
        <v>6</v>
      </c>
      <c r="H9" s="306" t="s">
        <v>500</v>
      </c>
      <c r="I9" s="306" t="s">
        <v>20</v>
      </c>
      <c r="J9" s="306" t="s">
        <v>20</v>
      </c>
      <c r="K9" s="306" t="s">
        <v>20</v>
      </c>
      <c r="L9" s="306" t="s">
        <v>20</v>
      </c>
      <c r="M9" s="306" t="s">
        <v>526</v>
      </c>
      <c r="N9" s="306" t="s">
        <v>20</v>
      </c>
      <c r="O9" s="306" t="s">
        <v>411</v>
      </c>
      <c r="P9" s="306" t="s">
        <v>591</v>
      </c>
      <c r="Q9" s="306" t="s">
        <v>20</v>
      </c>
      <c r="R9" s="306" t="s">
        <v>592</v>
      </c>
      <c r="S9" s="306" t="s">
        <v>20</v>
      </c>
      <c r="T9" s="306" t="s">
        <v>647</v>
      </c>
      <c r="U9" s="306" t="s">
        <v>502</v>
      </c>
      <c r="V9" s="306"/>
      <c r="W9" s="306" t="s">
        <v>502</v>
      </c>
      <c r="X9" s="306"/>
      <c r="Y9" s="306" t="s">
        <v>502</v>
      </c>
      <c r="Z9" s="306"/>
      <c r="AA9" s="306" t="s">
        <v>502</v>
      </c>
      <c r="AB9" s="306" t="s">
        <v>502</v>
      </c>
      <c r="AC9" s="306" t="s">
        <v>502</v>
      </c>
      <c r="AD9" s="306" t="s">
        <v>502</v>
      </c>
      <c r="AE9" s="306" t="s">
        <v>502</v>
      </c>
      <c r="AF9" s="306" t="s">
        <v>502</v>
      </c>
      <c r="AG9" s="306" t="s">
        <v>502</v>
      </c>
      <c r="AH9" s="306" t="s">
        <v>502</v>
      </c>
      <c r="AI9" s="306" t="s">
        <v>502</v>
      </c>
      <c r="AJ9" s="306" t="s">
        <v>502</v>
      </c>
      <c r="AK9" s="306" t="s">
        <v>502</v>
      </c>
      <c r="AL9" s="306" t="s">
        <v>502</v>
      </c>
      <c r="AM9" s="306"/>
      <c r="AN9" s="306" t="s">
        <v>502</v>
      </c>
      <c r="AO9" s="306" t="s">
        <v>502</v>
      </c>
      <c r="AP9" s="306" t="s">
        <v>502</v>
      </c>
      <c r="AQ9" s="306" t="s">
        <v>502</v>
      </c>
      <c r="AR9" s="306" t="s">
        <v>502</v>
      </c>
      <c r="AS9" s="306" t="s">
        <v>502</v>
      </c>
      <c r="AT9" s="306" t="s">
        <v>502</v>
      </c>
      <c r="AU9" s="306" t="s">
        <v>502</v>
      </c>
      <c r="AV9" s="306" t="s">
        <v>502</v>
      </c>
      <c r="AW9" s="306" t="s">
        <v>502</v>
      </c>
      <c r="AX9" s="306" t="s">
        <v>502</v>
      </c>
      <c r="AY9" s="306" t="s">
        <v>502</v>
      </c>
      <c r="AZ9" s="306" t="s">
        <v>502</v>
      </c>
      <c r="BA9" s="306" t="s">
        <v>502</v>
      </c>
      <c r="BB9" s="306" t="s">
        <v>502</v>
      </c>
      <c r="BC9" s="306" t="s">
        <v>502</v>
      </c>
      <c r="BD9" s="306" t="s">
        <v>502</v>
      </c>
      <c r="BE9" s="306" t="s">
        <v>502</v>
      </c>
      <c r="BF9" s="306" t="s">
        <v>502</v>
      </c>
      <c r="BG9" s="306" t="s">
        <v>502</v>
      </c>
      <c r="BH9" s="306" t="s">
        <v>502</v>
      </c>
      <c r="BI9" s="306" t="s">
        <v>502</v>
      </c>
      <c r="BJ9" s="306" t="s">
        <v>502</v>
      </c>
      <c r="BK9" s="306" t="s">
        <v>502</v>
      </c>
      <c r="BL9" s="306" t="s">
        <v>502</v>
      </c>
      <c r="BM9" s="306" t="s">
        <v>502</v>
      </c>
      <c r="BN9" s="306" t="s">
        <v>502</v>
      </c>
      <c r="BO9" s="306" t="s">
        <v>502</v>
      </c>
      <c r="BP9" s="306" t="s">
        <v>502</v>
      </c>
      <c r="BQ9" s="306" t="s">
        <v>502</v>
      </c>
      <c r="BR9" s="306" t="s">
        <v>502</v>
      </c>
      <c r="BS9" s="306" t="s">
        <v>411</v>
      </c>
      <c r="BT9" s="306" t="s">
        <v>20</v>
      </c>
      <c r="BU9" s="306">
        <v>10</v>
      </c>
      <c r="BV9" s="306" t="s">
        <v>527</v>
      </c>
      <c r="BW9" s="306" t="s">
        <v>528</v>
      </c>
      <c r="BX9" s="306"/>
      <c r="BY9" s="306"/>
    </row>
    <row r="10" spans="1:78" hidden="1" x14ac:dyDescent="0.3">
      <c r="A10" s="306">
        <v>8</v>
      </c>
      <c r="B10" s="306" t="s">
        <v>529</v>
      </c>
      <c r="C10" s="306" t="s">
        <v>530</v>
      </c>
      <c r="D10" s="306" t="s">
        <v>552</v>
      </c>
      <c r="E10" s="306" t="s">
        <v>593</v>
      </c>
      <c r="F10" s="306" t="s">
        <v>594</v>
      </c>
      <c r="G10" s="306">
        <v>28</v>
      </c>
      <c r="H10" s="306" t="s">
        <v>525</v>
      </c>
      <c r="I10" s="306" t="s">
        <v>20</v>
      </c>
      <c r="J10" s="306" t="s">
        <v>20</v>
      </c>
      <c r="K10" s="306" t="s">
        <v>20</v>
      </c>
      <c r="L10" s="306" t="s">
        <v>20</v>
      </c>
      <c r="M10" s="306" t="s">
        <v>600</v>
      </c>
      <c r="N10" s="306" t="s">
        <v>20</v>
      </c>
      <c r="O10" s="306" t="s">
        <v>20</v>
      </c>
      <c r="P10" s="306" t="s">
        <v>560</v>
      </c>
      <c r="Q10" s="306" t="s">
        <v>502</v>
      </c>
      <c r="R10" s="306"/>
      <c r="S10" s="306" t="s">
        <v>502</v>
      </c>
      <c r="T10" s="306"/>
      <c r="U10" s="306" t="s">
        <v>20</v>
      </c>
      <c r="V10" s="306" t="s">
        <v>595</v>
      </c>
      <c r="W10" s="306" t="s">
        <v>20</v>
      </c>
      <c r="X10" s="306" t="s">
        <v>596</v>
      </c>
      <c r="Y10" s="306" t="s">
        <v>20</v>
      </c>
      <c r="Z10" s="306" t="s">
        <v>597</v>
      </c>
      <c r="AA10" s="306" t="s">
        <v>502</v>
      </c>
      <c r="AB10" s="306" t="s">
        <v>502</v>
      </c>
      <c r="AC10" s="306" t="s">
        <v>20</v>
      </c>
      <c r="AD10" s="306" t="s">
        <v>20</v>
      </c>
      <c r="AE10" s="306" t="s">
        <v>20</v>
      </c>
      <c r="AF10" s="306" t="s">
        <v>20</v>
      </c>
      <c r="AG10" s="306" t="s">
        <v>20</v>
      </c>
      <c r="AH10" s="306" t="s">
        <v>502</v>
      </c>
      <c r="AI10" s="306" t="s">
        <v>502</v>
      </c>
      <c r="AJ10" s="306" t="s">
        <v>502</v>
      </c>
      <c r="AK10" s="306" t="s">
        <v>502</v>
      </c>
      <c r="AL10" s="306" t="s">
        <v>20</v>
      </c>
      <c r="AM10" s="306" t="s">
        <v>598</v>
      </c>
      <c r="AN10" s="306" t="s">
        <v>20</v>
      </c>
      <c r="AO10" s="306" t="s">
        <v>20</v>
      </c>
      <c r="AP10" s="306" t="s">
        <v>20</v>
      </c>
      <c r="AQ10" s="306" t="s">
        <v>20</v>
      </c>
      <c r="AR10" s="306" t="s">
        <v>20</v>
      </c>
      <c r="AS10" s="306" t="s">
        <v>20</v>
      </c>
      <c r="AT10" s="306" t="s">
        <v>20</v>
      </c>
      <c r="AU10" s="306" t="s">
        <v>20</v>
      </c>
      <c r="AV10" s="306" t="s">
        <v>411</v>
      </c>
      <c r="AW10" s="306" t="s">
        <v>411</v>
      </c>
      <c r="AX10" s="306" t="s">
        <v>411</v>
      </c>
      <c r="AY10" s="306" t="s">
        <v>411</v>
      </c>
      <c r="AZ10" s="306" t="s">
        <v>20</v>
      </c>
      <c r="BA10" s="306" t="s">
        <v>20</v>
      </c>
      <c r="BB10" s="306" t="s">
        <v>20</v>
      </c>
      <c r="BC10" s="306" t="s">
        <v>20</v>
      </c>
      <c r="BD10" s="306" t="s">
        <v>20</v>
      </c>
      <c r="BE10" s="306" t="s">
        <v>20</v>
      </c>
      <c r="BF10" s="306" t="s">
        <v>20</v>
      </c>
      <c r="BG10" s="306" t="s">
        <v>20</v>
      </c>
      <c r="BH10" s="306" t="s">
        <v>20</v>
      </c>
      <c r="BI10" s="306" t="s">
        <v>20</v>
      </c>
      <c r="BJ10" s="306" t="s">
        <v>20</v>
      </c>
      <c r="BK10" s="306" t="s">
        <v>411</v>
      </c>
      <c r="BL10" s="306" t="s">
        <v>502</v>
      </c>
      <c r="BM10" s="306" t="s">
        <v>502</v>
      </c>
      <c r="BN10" s="306" t="s">
        <v>502</v>
      </c>
      <c r="BO10" s="306" t="s">
        <v>502</v>
      </c>
      <c r="BP10" s="306" t="s">
        <v>502</v>
      </c>
      <c r="BQ10" s="306" t="s">
        <v>502</v>
      </c>
      <c r="BR10" s="306" t="s">
        <v>20</v>
      </c>
      <c r="BS10" s="306" t="s">
        <v>20</v>
      </c>
      <c r="BT10" s="306" t="s">
        <v>20</v>
      </c>
      <c r="BU10" s="306">
        <v>10</v>
      </c>
      <c r="BV10" s="306" t="s">
        <v>531</v>
      </c>
      <c r="BW10" s="306" t="s">
        <v>532</v>
      </c>
      <c r="BX10" s="306"/>
      <c r="BY10" s="306"/>
    </row>
    <row r="11" spans="1:78" hidden="1" x14ac:dyDescent="0.3">
      <c r="A11" s="306">
        <v>9</v>
      </c>
      <c r="B11" s="306" t="s">
        <v>533</v>
      </c>
      <c r="C11" s="306" t="s">
        <v>530</v>
      </c>
      <c r="D11" s="306" t="s">
        <v>552</v>
      </c>
      <c r="E11" s="306" t="s">
        <v>557</v>
      </c>
      <c r="F11" s="306" t="s">
        <v>601</v>
      </c>
      <c r="G11" s="306">
        <v>16</v>
      </c>
      <c r="H11" s="306" t="s">
        <v>525</v>
      </c>
      <c r="I11" s="306" t="s">
        <v>20</v>
      </c>
      <c r="J11" s="306" t="s">
        <v>20</v>
      </c>
      <c r="K11" s="306" t="s">
        <v>20</v>
      </c>
      <c r="L11" s="306" t="s">
        <v>20</v>
      </c>
      <c r="M11" s="306" t="s">
        <v>534</v>
      </c>
      <c r="N11" s="306" t="s">
        <v>20</v>
      </c>
      <c r="O11" s="306" t="s">
        <v>20</v>
      </c>
      <c r="P11" s="306" t="s">
        <v>602</v>
      </c>
      <c r="Q11" s="306" t="s">
        <v>502</v>
      </c>
      <c r="R11" s="306"/>
      <c r="S11" s="306" t="s">
        <v>502</v>
      </c>
      <c r="T11" s="306"/>
      <c r="U11" s="306" t="s">
        <v>20</v>
      </c>
      <c r="V11" s="306" t="s">
        <v>603</v>
      </c>
      <c r="W11" s="306" t="s">
        <v>20</v>
      </c>
      <c r="X11" s="306" t="s">
        <v>605</v>
      </c>
      <c r="Y11" s="306" t="s">
        <v>20</v>
      </c>
      <c r="Z11" s="306" t="s">
        <v>604</v>
      </c>
      <c r="AA11" s="306" t="s">
        <v>502</v>
      </c>
      <c r="AB11" s="306" t="s">
        <v>502</v>
      </c>
      <c r="AC11" s="306" t="s">
        <v>502</v>
      </c>
      <c r="AD11" s="306" t="s">
        <v>502</v>
      </c>
      <c r="AE11" s="306" t="s">
        <v>502</v>
      </c>
      <c r="AF11" s="306" t="s">
        <v>502</v>
      </c>
      <c r="AG11" s="306" t="s">
        <v>502</v>
      </c>
      <c r="AH11" s="306" t="s">
        <v>502</v>
      </c>
      <c r="AI11" s="306" t="s">
        <v>502</v>
      </c>
      <c r="AJ11" s="306" t="s">
        <v>502</v>
      </c>
      <c r="AK11" s="306" t="s">
        <v>502</v>
      </c>
      <c r="AL11" s="306" t="s">
        <v>20</v>
      </c>
      <c r="AM11" s="306"/>
      <c r="AN11" s="306" t="s">
        <v>20</v>
      </c>
      <c r="AO11" s="306" t="s">
        <v>20</v>
      </c>
      <c r="AP11" s="306" t="s">
        <v>20</v>
      </c>
      <c r="AQ11" s="306" t="s">
        <v>20</v>
      </c>
      <c r="AR11" s="306" t="s">
        <v>20</v>
      </c>
      <c r="AS11" s="306" t="s">
        <v>20</v>
      </c>
      <c r="AT11" s="306" t="s">
        <v>20</v>
      </c>
      <c r="AU11" s="306" t="s">
        <v>20</v>
      </c>
      <c r="AV11" s="306" t="s">
        <v>411</v>
      </c>
      <c r="AW11" s="306" t="s">
        <v>411</v>
      </c>
      <c r="AX11" s="306" t="s">
        <v>20</v>
      </c>
      <c r="AY11" s="306" t="s">
        <v>20</v>
      </c>
      <c r="AZ11" s="306" t="s">
        <v>20</v>
      </c>
      <c r="BA11" s="306" t="s">
        <v>20</v>
      </c>
      <c r="BB11" s="306" t="s">
        <v>20</v>
      </c>
      <c r="BC11" s="306" t="s">
        <v>20</v>
      </c>
      <c r="BD11" s="306" t="s">
        <v>20</v>
      </c>
      <c r="BE11" s="306" t="s">
        <v>20</v>
      </c>
      <c r="BF11" s="306" t="s">
        <v>20</v>
      </c>
      <c r="BG11" s="306" t="s">
        <v>20</v>
      </c>
      <c r="BH11" s="306" t="s">
        <v>20</v>
      </c>
      <c r="BI11" s="306" t="s">
        <v>20</v>
      </c>
      <c r="BJ11" s="306" t="s">
        <v>20</v>
      </c>
      <c r="BK11" s="306" t="s">
        <v>20</v>
      </c>
      <c r="BL11" s="306" t="s">
        <v>502</v>
      </c>
      <c r="BM11" s="306" t="s">
        <v>502</v>
      </c>
      <c r="BN11" s="306" t="s">
        <v>502</v>
      </c>
      <c r="BO11" s="306" t="s">
        <v>502</v>
      </c>
      <c r="BP11" s="306" t="s">
        <v>502</v>
      </c>
      <c r="BQ11" s="306" t="s">
        <v>502</v>
      </c>
      <c r="BR11" s="306" t="s">
        <v>20</v>
      </c>
      <c r="BS11" s="306" t="s">
        <v>20</v>
      </c>
      <c r="BT11" s="306" t="s">
        <v>20</v>
      </c>
      <c r="BU11" s="306">
        <v>10</v>
      </c>
      <c r="BV11" s="306" t="s">
        <v>535</v>
      </c>
      <c r="BW11" s="306" t="s">
        <v>536</v>
      </c>
    </row>
    <row r="12" spans="1:78" hidden="1" x14ac:dyDescent="0.3">
      <c r="A12" s="306">
        <v>10</v>
      </c>
      <c r="B12" s="306" t="s">
        <v>537</v>
      </c>
      <c r="C12" s="306" t="s">
        <v>530</v>
      </c>
      <c r="D12" s="306" t="s">
        <v>510</v>
      </c>
      <c r="E12" s="306" t="s">
        <v>561</v>
      </c>
      <c r="F12" s="306" t="s">
        <v>606</v>
      </c>
      <c r="G12" s="306">
        <v>16</v>
      </c>
      <c r="H12" s="306" t="s">
        <v>525</v>
      </c>
      <c r="I12" s="306" t="s">
        <v>20</v>
      </c>
      <c r="J12" s="306" t="s">
        <v>20</v>
      </c>
      <c r="K12" s="306" t="s">
        <v>20</v>
      </c>
      <c r="L12" s="306" t="s">
        <v>20</v>
      </c>
      <c r="M12" s="306" t="s">
        <v>534</v>
      </c>
      <c r="N12" s="306" t="s">
        <v>20</v>
      </c>
      <c r="O12" s="306" t="s">
        <v>20</v>
      </c>
      <c r="P12" s="306" t="s">
        <v>584</v>
      </c>
      <c r="Q12" s="306" t="s">
        <v>502</v>
      </c>
      <c r="R12" s="306"/>
      <c r="S12" s="306" t="s">
        <v>502</v>
      </c>
      <c r="T12" s="306"/>
      <c r="U12" s="306" t="s">
        <v>20</v>
      </c>
      <c r="V12" s="306" t="s">
        <v>607</v>
      </c>
      <c r="W12" s="306" t="s">
        <v>20</v>
      </c>
      <c r="X12" s="306" t="s">
        <v>617</v>
      </c>
      <c r="Y12" s="306" t="s">
        <v>20</v>
      </c>
      <c r="Z12" s="306" t="s">
        <v>609</v>
      </c>
      <c r="AA12" s="306" t="s">
        <v>502</v>
      </c>
      <c r="AB12" s="306" t="s">
        <v>20</v>
      </c>
      <c r="AC12" s="306" t="s">
        <v>502</v>
      </c>
      <c r="AD12" s="306" t="s">
        <v>502</v>
      </c>
      <c r="AE12" s="306" t="s">
        <v>502</v>
      </c>
      <c r="AF12" s="306" t="s">
        <v>20</v>
      </c>
      <c r="AG12" s="306" t="s">
        <v>502</v>
      </c>
      <c r="AH12" s="306" t="s">
        <v>502</v>
      </c>
      <c r="AI12" s="306" t="s">
        <v>502</v>
      </c>
      <c r="AJ12" s="306" t="s">
        <v>502</v>
      </c>
      <c r="AK12" s="306" t="s">
        <v>502</v>
      </c>
      <c r="AL12" s="306" t="s">
        <v>20</v>
      </c>
      <c r="AM12" s="306" t="s">
        <v>608</v>
      </c>
      <c r="AN12" s="306" t="s">
        <v>20</v>
      </c>
      <c r="AO12" s="306" t="s">
        <v>20</v>
      </c>
      <c r="AP12" s="306" t="s">
        <v>20</v>
      </c>
      <c r="AQ12" s="306" t="s">
        <v>20</v>
      </c>
      <c r="AR12" s="306" t="s">
        <v>20</v>
      </c>
      <c r="AS12" s="306" t="s">
        <v>20</v>
      </c>
      <c r="AT12" s="306" t="s">
        <v>20</v>
      </c>
      <c r="AU12" s="306" t="s">
        <v>20</v>
      </c>
      <c r="AV12" s="306" t="s">
        <v>20</v>
      </c>
      <c r="AW12" s="306" t="s">
        <v>20</v>
      </c>
      <c r="AX12" s="306" t="s">
        <v>20</v>
      </c>
      <c r="AY12" s="306" t="s">
        <v>20</v>
      </c>
      <c r="AZ12" s="306" t="s">
        <v>20</v>
      </c>
      <c r="BA12" s="306" t="s">
        <v>411</v>
      </c>
      <c r="BB12" s="306" t="s">
        <v>411</v>
      </c>
      <c r="BC12" s="306" t="s">
        <v>20</v>
      </c>
      <c r="BD12" s="306" t="s">
        <v>20</v>
      </c>
      <c r="BE12" s="306" t="s">
        <v>20</v>
      </c>
      <c r="BF12" s="306" t="s">
        <v>20</v>
      </c>
      <c r="BG12" s="306" t="s">
        <v>20</v>
      </c>
      <c r="BH12" s="306" t="s">
        <v>20</v>
      </c>
      <c r="BI12" s="306" t="s">
        <v>20</v>
      </c>
      <c r="BJ12" s="306" t="s">
        <v>502</v>
      </c>
      <c r="BK12" s="306" t="s">
        <v>20</v>
      </c>
      <c r="BL12" s="306" t="s">
        <v>502</v>
      </c>
      <c r="BM12" s="306" t="s">
        <v>502</v>
      </c>
      <c r="BN12" s="306" t="s">
        <v>502</v>
      </c>
      <c r="BO12" s="306" t="s">
        <v>502</v>
      </c>
      <c r="BP12" s="306" t="s">
        <v>502</v>
      </c>
      <c r="BQ12" s="306" t="s">
        <v>502</v>
      </c>
      <c r="BR12" s="306" t="s">
        <v>20</v>
      </c>
      <c r="BS12" s="306" t="s">
        <v>20</v>
      </c>
      <c r="BT12" s="306" t="s">
        <v>20</v>
      </c>
      <c r="BU12" s="306">
        <v>10</v>
      </c>
      <c r="BV12" s="306" t="s">
        <v>611</v>
      </c>
      <c r="BW12" s="306" t="s">
        <v>538</v>
      </c>
    </row>
    <row r="13" spans="1:78" hidden="1" x14ac:dyDescent="0.3">
      <c r="A13" s="306">
        <v>11</v>
      </c>
      <c r="B13" s="306" t="s">
        <v>539</v>
      </c>
      <c r="C13" s="306" t="s">
        <v>530</v>
      </c>
      <c r="D13" s="306" t="s">
        <v>517</v>
      </c>
      <c r="E13" s="310">
        <v>0.7909722222222223</v>
      </c>
      <c r="F13" s="310">
        <v>0.80625000000000002</v>
      </c>
      <c r="G13" s="306">
        <v>22</v>
      </c>
      <c r="H13" s="306" t="s">
        <v>525</v>
      </c>
      <c r="I13" s="306" t="s">
        <v>20</v>
      </c>
      <c r="J13" s="306" t="s">
        <v>20</v>
      </c>
      <c r="K13" s="306" t="s">
        <v>20</v>
      </c>
      <c r="L13" s="306" t="s">
        <v>20</v>
      </c>
      <c r="M13" s="306" t="s">
        <v>540</v>
      </c>
      <c r="N13" s="306" t="s">
        <v>411</v>
      </c>
      <c r="O13" s="306" t="s">
        <v>411</v>
      </c>
      <c r="P13" s="306" t="s">
        <v>610</v>
      </c>
      <c r="Q13" s="306" t="s">
        <v>502</v>
      </c>
      <c r="R13" s="306"/>
      <c r="S13" s="306" t="s">
        <v>502</v>
      </c>
      <c r="T13" s="306"/>
      <c r="U13" s="306" t="s">
        <v>20</v>
      </c>
      <c r="V13" s="306" t="s">
        <v>607</v>
      </c>
      <c r="W13" s="306" t="s">
        <v>20</v>
      </c>
      <c r="X13" s="306" t="s">
        <v>618</v>
      </c>
      <c r="Y13" s="306" t="s">
        <v>20</v>
      </c>
      <c r="Z13" s="306" t="s">
        <v>613</v>
      </c>
      <c r="AA13" s="306" t="s">
        <v>502</v>
      </c>
      <c r="AB13" s="306" t="s">
        <v>502</v>
      </c>
      <c r="AC13" s="306" t="s">
        <v>502</v>
      </c>
      <c r="AD13" s="306" t="s">
        <v>502</v>
      </c>
      <c r="AE13" s="306" t="s">
        <v>502</v>
      </c>
      <c r="AF13" s="306" t="s">
        <v>502</v>
      </c>
      <c r="AG13" s="306" t="s">
        <v>502</v>
      </c>
      <c r="AH13" s="306" t="s">
        <v>502</v>
      </c>
      <c r="AI13" s="306" t="s">
        <v>502</v>
      </c>
      <c r="AJ13" s="306" t="s">
        <v>502</v>
      </c>
      <c r="AK13" s="306" t="s">
        <v>502</v>
      </c>
      <c r="AL13" s="306" t="s">
        <v>20</v>
      </c>
      <c r="AM13" s="306" t="s">
        <v>608</v>
      </c>
      <c r="AN13" s="306" t="s">
        <v>20</v>
      </c>
      <c r="AO13" s="306" t="s">
        <v>20</v>
      </c>
      <c r="AP13" s="306" t="s">
        <v>20</v>
      </c>
      <c r="AQ13" s="306" t="s">
        <v>20</v>
      </c>
      <c r="AR13" s="306" t="s">
        <v>20</v>
      </c>
      <c r="AS13" s="306" t="s">
        <v>20</v>
      </c>
      <c r="AT13" s="306" t="s">
        <v>411</v>
      </c>
      <c r="AU13" s="306" t="s">
        <v>20</v>
      </c>
      <c r="AV13" s="306" t="s">
        <v>411</v>
      </c>
      <c r="AW13" s="306" t="s">
        <v>411</v>
      </c>
      <c r="AX13" s="306" t="s">
        <v>20</v>
      </c>
      <c r="AY13" s="306" t="s">
        <v>20</v>
      </c>
      <c r="AZ13" s="306" t="s">
        <v>20</v>
      </c>
      <c r="BA13" s="306" t="s">
        <v>411</v>
      </c>
      <c r="BB13" s="306" t="s">
        <v>411</v>
      </c>
      <c r="BC13" s="306" t="s">
        <v>20</v>
      </c>
      <c r="BD13" s="306" t="s">
        <v>20</v>
      </c>
      <c r="BE13" s="306" t="s">
        <v>20</v>
      </c>
      <c r="BF13" s="306" t="s">
        <v>20</v>
      </c>
      <c r="BG13" s="306" t="s">
        <v>20</v>
      </c>
      <c r="BH13" s="306" t="s">
        <v>20</v>
      </c>
      <c r="BI13" s="306" t="s">
        <v>20</v>
      </c>
      <c r="BJ13" s="306" t="s">
        <v>502</v>
      </c>
      <c r="BK13" s="306" t="s">
        <v>20</v>
      </c>
      <c r="BL13" s="306" t="s">
        <v>502</v>
      </c>
      <c r="BM13" s="306" t="s">
        <v>502</v>
      </c>
      <c r="BN13" s="306" t="s">
        <v>502</v>
      </c>
      <c r="BO13" s="306" t="s">
        <v>502</v>
      </c>
      <c r="BP13" s="306" t="s">
        <v>502</v>
      </c>
      <c r="BQ13" s="306" t="s">
        <v>502</v>
      </c>
      <c r="BR13" s="306" t="s">
        <v>20</v>
      </c>
      <c r="BS13" s="306" t="s">
        <v>20</v>
      </c>
      <c r="BT13" s="306" t="s">
        <v>20</v>
      </c>
      <c r="BU13" s="306">
        <v>10</v>
      </c>
      <c r="BV13" s="306" t="s">
        <v>612</v>
      </c>
      <c r="BW13" s="306" t="s">
        <v>541</v>
      </c>
    </row>
    <row r="14" spans="1:78" hidden="1" x14ac:dyDescent="0.3">
      <c r="A14" s="306">
        <v>12</v>
      </c>
      <c r="B14" s="306" t="s">
        <v>539</v>
      </c>
      <c r="C14" s="306" t="s">
        <v>542</v>
      </c>
      <c r="D14" s="306" t="s">
        <v>510</v>
      </c>
      <c r="E14" s="306" t="s">
        <v>614</v>
      </c>
      <c r="F14" s="306" t="s">
        <v>615</v>
      </c>
      <c r="G14" s="306">
        <v>9</v>
      </c>
      <c r="H14" s="306" t="s">
        <v>543</v>
      </c>
      <c r="I14" s="306" t="s">
        <v>20</v>
      </c>
      <c r="J14" s="306" t="s">
        <v>20</v>
      </c>
      <c r="K14" s="306" t="s">
        <v>20</v>
      </c>
      <c r="L14" s="306" t="s">
        <v>20</v>
      </c>
      <c r="M14" s="306" t="s">
        <v>544</v>
      </c>
      <c r="N14" s="306" t="s">
        <v>411</v>
      </c>
      <c r="O14" s="306" t="s">
        <v>411</v>
      </c>
      <c r="P14" s="306" t="s">
        <v>564</v>
      </c>
      <c r="Q14" s="306" t="s">
        <v>502</v>
      </c>
      <c r="R14" s="306"/>
      <c r="S14" s="306" t="s">
        <v>502</v>
      </c>
      <c r="T14" s="306"/>
      <c r="U14" s="306" t="s">
        <v>20</v>
      </c>
      <c r="V14" s="306" t="s">
        <v>616</v>
      </c>
      <c r="W14" s="306" t="s">
        <v>411</v>
      </c>
      <c r="X14" s="306" t="s">
        <v>619</v>
      </c>
      <c r="Y14" s="306" t="s">
        <v>20</v>
      </c>
      <c r="Z14" s="306" t="s">
        <v>620</v>
      </c>
      <c r="AA14" s="306" t="s">
        <v>502</v>
      </c>
      <c r="AB14" s="306" t="s">
        <v>502</v>
      </c>
      <c r="AC14" s="306" t="s">
        <v>502</v>
      </c>
      <c r="AD14" s="306" t="s">
        <v>502</v>
      </c>
      <c r="AE14" s="306" t="s">
        <v>502</v>
      </c>
      <c r="AF14" s="306" t="s">
        <v>502</v>
      </c>
      <c r="AG14" s="306" t="s">
        <v>502</v>
      </c>
      <c r="AH14" s="306" t="s">
        <v>502</v>
      </c>
      <c r="AI14" s="306" t="s">
        <v>502</v>
      </c>
      <c r="AJ14" s="306" t="s">
        <v>502</v>
      </c>
      <c r="AK14" s="306" t="s">
        <v>502</v>
      </c>
      <c r="AL14" s="306" t="s">
        <v>20</v>
      </c>
      <c r="AM14" s="306" t="s">
        <v>626</v>
      </c>
      <c r="AN14" s="306" t="s">
        <v>20</v>
      </c>
      <c r="AO14" s="306" t="s">
        <v>411</v>
      </c>
      <c r="AP14" s="306" t="s">
        <v>20</v>
      </c>
      <c r="AQ14" s="306" t="s">
        <v>20</v>
      </c>
      <c r="AR14" s="306" t="s">
        <v>20</v>
      </c>
      <c r="AS14" s="306" t="s">
        <v>20</v>
      </c>
      <c r="AT14" s="306" t="s">
        <v>411</v>
      </c>
      <c r="AU14" s="306" t="s">
        <v>20</v>
      </c>
      <c r="AV14" s="306" t="s">
        <v>411</v>
      </c>
      <c r="AW14" s="306" t="s">
        <v>411</v>
      </c>
      <c r="AX14" s="306" t="s">
        <v>411</v>
      </c>
      <c r="AY14" s="306" t="s">
        <v>545</v>
      </c>
      <c r="AZ14" s="306" t="s">
        <v>411</v>
      </c>
      <c r="BA14" s="306" t="s">
        <v>411</v>
      </c>
      <c r="BB14" s="306" t="s">
        <v>411</v>
      </c>
      <c r="BC14" s="306" t="s">
        <v>411</v>
      </c>
      <c r="BD14" s="306" t="s">
        <v>502</v>
      </c>
      <c r="BE14" s="306" t="s">
        <v>502</v>
      </c>
      <c r="BF14" s="306" t="s">
        <v>502</v>
      </c>
      <c r="BG14" s="306" t="s">
        <v>502</v>
      </c>
      <c r="BH14" s="306" t="s">
        <v>502</v>
      </c>
      <c r="BI14" s="306" t="s">
        <v>411</v>
      </c>
      <c r="BJ14" s="306" t="s">
        <v>411</v>
      </c>
      <c r="BK14" s="306" t="s">
        <v>411</v>
      </c>
      <c r="BL14" s="306" t="s">
        <v>502</v>
      </c>
      <c r="BM14" s="306" t="s">
        <v>411</v>
      </c>
      <c r="BN14" s="306" t="s">
        <v>411</v>
      </c>
      <c r="BO14" s="306" t="s">
        <v>411</v>
      </c>
      <c r="BP14" s="306" t="s">
        <v>411</v>
      </c>
      <c r="BQ14" s="306" t="s">
        <v>411</v>
      </c>
      <c r="BR14" s="306" t="s">
        <v>411</v>
      </c>
      <c r="BS14" s="306" t="s">
        <v>411</v>
      </c>
      <c r="BT14" s="306" t="s">
        <v>411</v>
      </c>
      <c r="BU14" s="306">
        <v>5</v>
      </c>
      <c r="BV14" s="306" t="s">
        <v>621</v>
      </c>
      <c r="BW14" s="306" t="s">
        <v>546</v>
      </c>
      <c r="BX14" s="306"/>
      <c r="BY14" s="306"/>
    </row>
    <row r="15" spans="1:78" hidden="1" x14ac:dyDescent="0.3">
      <c r="A15" s="306">
        <v>13</v>
      </c>
      <c r="B15" s="306" t="s">
        <v>533</v>
      </c>
      <c r="C15" s="306" t="s">
        <v>550</v>
      </c>
      <c r="D15" s="306" t="s">
        <v>553</v>
      </c>
      <c r="E15" s="306" t="s">
        <v>622</v>
      </c>
      <c r="F15" s="306" t="s">
        <v>623</v>
      </c>
      <c r="G15" s="306">
        <v>39</v>
      </c>
      <c r="H15" s="306" t="s">
        <v>543</v>
      </c>
      <c r="I15" s="306" t="s">
        <v>20</v>
      </c>
      <c r="J15" s="306" t="s">
        <v>20</v>
      </c>
      <c r="K15" s="306" t="s">
        <v>20</v>
      </c>
      <c r="L15" s="306" t="s">
        <v>20</v>
      </c>
      <c r="M15" s="306" t="s">
        <v>624</v>
      </c>
      <c r="N15" s="306" t="s">
        <v>20</v>
      </c>
      <c r="O15" s="306" t="s">
        <v>20</v>
      </c>
      <c r="P15" s="306" t="s">
        <v>602</v>
      </c>
      <c r="Q15" s="306" t="s">
        <v>502</v>
      </c>
      <c r="R15" s="306"/>
      <c r="S15" s="306" t="s">
        <v>502</v>
      </c>
      <c r="T15" s="306"/>
      <c r="U15" s="306" t="s">
        <v>20</v>
      </c>
      <c r="V15" s="306" t="s">
        <v>654</v>
      </c>
      <c r="W15" s="306" t="s">
        <v>20</v>
      </c>
      <c r="X15" s="306" t="s">
        <v>625</v>
      </c>
      <c r="Y15" s="306" t="s">
        <v>20</v>
      </c>
      <c r="Z15" s="306" t="s">
        <v>628</v>
      </c>
      <c r="AA15" s="306" t="s">
        <v>502</v>
      </c>
      <c r="AB15" s="306" t="s">
        <v>502</v>
      </c>
      <c r="AC15" s="306" t="s">
        <v>502</v>
      </c>
      <c r="AD15" s="306" t="s">
        <v>502</v>
      </c>
      <c r="AE15" s="306" t="s">
        <v>20</v>
      </c>
      <c r="AF15" s="306" t="s">
        <v>20</v>
      </c>
      <c r="AG15" s="306" t="s">
        <v>502</v>
      </c>
      <c r="AH15" s="306" t="s">
        <v>502</v>
      </c>
      <c r="AI15" s="306" t="s">
        <v>502</v>
      </c>
      <c r="AJ15" s="306" t="s">
        <v>502</v>
      </c>
      <c r="AK15" s="306" t="s">
        <v>502</v>
      </c>
      <c r="AL15" s="306" t="s">
        <v>20</v>
      </c>
      <c r="AM15" s="306" t="s">
        <v>599</v>
      </c>
      <c r="AN15" s="306" t="s">
        <v>20</v>
      </c>
      <c r="AO15" s="306" t="s">
        <v>20</v>
      </c>
      <c r="AP15" s="306" t="s">
        <v>20</v>
      </c>
      <c r="AQ15" s="306" t="s">
        <v>411</v>
      </c>
      <c r="AR15" s="306" t="s">
        <v>20</v>
      </c>
      <c r="AS15" s="306" t="s">
        <v>20</v>
      </c>
      <c r="AT15" s="306" t="s">
        <v>20</v>
      </c>
      <c r="AU15" s="306" t="s">
        <v>20</v>
      </c>
      <c r="AV15" s="306" t="s">
        <v>20</v>
      </c>
      <c r="AW15" s="306" t="s">
        <v>20</v>
      </c>
      <c r="AX15" s="306" t="s">
        <v>20</v>
      </c>
      <c r="AY15" s="306" t="s">
        <v>20</v>
      </c>
      <c r="AZ15" s="306" t="s">
        <v>20</v>
      </c>
      <c r="BA15" s="306" t="s">
        <v>20</v>
      </c>
      <c r="BB15" s="306" t="s">
        <v>20</v>
      </c>
      <c r="BC15" s="306" t="s">
        <v>20</v>
      </c>
      <c r="BD15" s="306" t="s">
        <v>502</v>
      </c>
      <c r="BE15" s="306" t="s">
        <v>502</v>
      </c>
      <c r="BF15" s="306" t="s">
        <v>502</v>
      </c>
      <c r="BG15" s="306" t="s">
        <v>502</v>
      </c>
      <c r="BH15" s="306" t="s">
        <v>502</v>
      </c>
      <c r="BI15" s="306" t="s">
        <v>20</v>
      </c>
      <c r="BJ15" s="306" t="s">
        <v>20</v>
      </c>
      <c r="BK15" s="306" t="s">
        <v>20</v>
      </c>
      <c r="BL15" s="306" t="s">
        <v>502</v>
      </c>
      <c r="BM15" s="306" t="s">
        <v>20</v>
      </c>
      <c r="BN15" s="306" t="s">
        <v>20</v>
      </c>
      <c r="BO15" s="306" t="s">
        <v>20</v>
      </c>
      <c r="BP15" s="306" t="s">
        <v>20</v>
      </c>
      <c r="BQ15" s="306" t="s">
        <v>20</v>
      </c>
      <c r="BR15" s="306" t="s">
        <v>20</v>
      </c>
      <c r="BS15" s="306" t="s">
        <v>411</v>
      </c>
      <c r="BT15" s="306" t="s">
        <v>20</v>
      </c>
      <c r="BU15" s="306">
        <v>9</v>
      </c>
      <c r="BV15" s="306" t="s">
        <v>627</v>
      </c>
      <c r="BW15" s="306"/>
      <c r="BX15" s="306"/>
      <c r="BY15" s="306"/>
      <c r="BZ15" s="306"/>
    </row>
    <row r="16" spans="1:78" hidden="1" x14ac:dyDescent="0.3">
      <c r="A16" s="306">
        <v>14</v>
      </c>
      <c r="B16" s="306" t="s">
        <v>537</v>
      </c>
      <c r="C16" s="306" t="s">
        <v>550</v>
      </c>
      <c r="D16" s="306" t="s">
        <v>553</v>
      </c>
      <c r="E16" s="306" t="s">
        <v>629</v>
      </c>
      <c r="F16" s="306" t="s">
        <v>630</v>
      </c>
      <c r="G16" s="306">
        <v>15</v>
      </c>
      <c r="H16" s="306" t="s">
        <v>543</v>
      </c>
      <c r="I16" s="306" t="s">
        <v>20</v>
      </c>
      <c r="J16" s="306" t="s">
        <v>20</v>
      </c>
      <c r="K16" s="306" t="s">
        <v>20</v>
      </c>
      <c r="L16" s="306" t="s">
        <v>20</v>
      </c>
      <c r="M16" s="306" t="s">
        <v>631</v>
      </c>
      <c r="N16" s="306" t="s">
        <v>20</v>
      </c>
      <c r="O16" s="306" t="s">
        <v>20</v>
      </c>
      <c r="P16" s="306" t="s">
        <v>602</v>
      </c>
      <c r="Q16" s="306" t="s">
        <v>502</v>
      </c>
      <c r="R16" s="306"/>
      <c r="S16" s="306" t="s">
        <v>502</v>
      </c>
      <c r="T16" s="306"/>
      <c r="U16" s="306" t="s">
        <v>411</v>
      </c>
      <c r="V16" s="306" t="s">
        <v>633</v>
      </c>
      <c r="W16" s="306" t="s">
        <v>20</v>
      </c>
      <c r="X16" s="306" t="s">
        <v>632</v>
      </c>
      <c r="Y16" s="306" t="s">
        <v>20</v>
      </c>
      <c r="Z16" s="306" t="s">
        <v>634</v>
      </c>
      <c r="AA16" s="306" t="s">
        <v>502</v>
      </c>
      <c r="AB16" s="306" t="s">
        <v>502</v>
      </c>
      <c r="AC16" s="306" t="s">
        <v>502</v>
      </c>
      <c r="AD16" s="306" t="s">
        <v>502</v>
      </c>
      <c r="AE16" s="306" t="s">
        <v>502</v>
      </c>
      <c r="AF16" s="306" t="s">
        <v>502</v>
      </c>
      <c r="AG16" s="306" t="s">
        <v>502</v>
      </c>
      <c r="AH16" s="306" t="s">
        <v>502</v>
      </c>
      <c r="AI16" s="306" t="s">
        <v>502</v>
      </c>
      <c r="AJ16" s="306" t="s">
        <v>502</v>
      </c>
      <c r="AK16" s="306" t="s">
        <v>502</v>
      </c>
      <c r="AL16" s="306" t="s">
        <v>20</v>
      </c>
      <c r="AM16" s="306" t="s">
        <v>635</v>
      </c>
      <c r="AN16" s="306" t="s">
        <v>20</v>
      </c>
      <c r="AO16" s="306" t="s">
        <v>20</v>
      </c>
      <c r="AP16" s="306" t="s">
        <v>20</v>
      </c>
      <c r="AQ16" s="306" t="s">
        <v>411</v>
      </c>
      <c r="AR16" s="306" t="s">
        <v>411</v>
      </c>
      <c r="AS16" s="306" t="s">
        <v>20</v>
      </c>
      <c r="AT16" s="306" t="s">
        <v>411</v>
      </c>
      <c r="AU16" s="306" t="s">
        <v>411</v>
      </c>
      <c r="AV16" s="306" t="s">
        <v>411</v>
      </c>
      <c r="AW16" s="306" t="s">
        <v>411</v>
      </c>
      <c r="AX16" s="306" t="s">
        <v>411</v>
      </c>
      <c r="AY16" s="306" t="s">
        <v>411</v>
      </c>
      <c r="AZ16" s="306" t="s">
        <v>411</v>
      </c>
      <c r="BA16" s="306" t="s">
        <v>20</v>
      </c>
      <c r="BB16" s="306" t="s">
        <v>20</v>
      </c>
      <c r="BC16" s="306" t="s">
        <v>20</v>
      </c>
      <c r="BD16" s="306" t="s">
        <v>502</v>
      </c>
      <c r="BE16" s="306" t="s">
        <v>502</v>
      </c>
      <c r="BF16" s="306" t="s">
        <v>502</v>
      </c>
      <c r="BG16" s="306" t="s">
        <v>502</v>
      </c>
      <c r="BH16" s="306" t="s">
        <v>502</v>
      </c>
      <c r="BI16" s="306" t="s">
        <v>20</v>
      </c>
      <c r="BJ16" s="306" t="s">
        <v>20</v>
      </c>
      <c r="BK16" s="306" t="s">
        <v>20</v>
      </c>
      <c r="BL16" s="306" t="s">
        <v>502</v>
      </c>
      <c r="BM16" s="306" t="s">
        <v>20</v>
      </c>
      <c r="BN16" s="306" t="s">
        <v>411</v>
      </c>
      <c r="BO16" s="306" t="s">
        <v>411</v>
      </c>
      <c r="BP16" s="306" t="s">
        <v>20</v>
      </c>
      <c r="BQ16" s="306" t="s">
        <v>20</v>
      </c>
      <c r="BR16" s="306" t="s">
        <v>20</v>
      </c>
      <c r="BS16" s="306" t="s">
        <v>411</v>
      </c>
      <c r="BT16" s="306" t="s">
        <v>20</v>
      </c>
      <c r="BU16" s="306">
        <v>7</v>
      </c>
      <c r="BV16" s="306" t="s">
        <v>637</v>
      </c>
      <c r="BW16" s="306" t="s">
        <v>636</v>
      </c>
      <c r="BX16" s="306"/>
      <c r="BY16" s="306"/>
      <c r="BZ16" s="306"/>
    </row>
    <row r="17" spans="1:79" hidden="1" x14ac:dyDescent="0.3">
      <c r="A17" s="306">
        <v>15</v>
      </c>
      <c r="B17" s="306" t="s">
        <v>551</v>
      </c>
      <c r="C17" s="306" t="s">
        <v>498</v>
      </c>
      <c r="D17" s="306" t="s">
        <v>553</v>
      </c>
      <c r="E17" s="306" t="s">
        <v>638</v>
      </c>
      <c r="F17" s="306" t="s">
        <v>639</v>
      </c>
      <c r="G17" s="306">
        <v>3</v>
      </c>
      <c r="H17" s="306" t="s">
        <v>500</v>
      </c>
      <c r="I17" s="306" t="s">
        <v>20</v>
      </c>
      <c r="J17" s="306" t="s">
        <v>20</v>
      </c>
      <c r="K17" s="306" t="s">
        <v>20</v>
      </c>
      <c r="L17" s="306" t="s">
        <v>20</v>
      </c>
      <c r="M17" s="306" t="s">
        <v>643</v>
      </c>
      <c r="N17" s="306" t="s">
        <v>20</v>
      </c>
      <c r="O17" s="306" t="s">
        <v>411</v>
      </c>
      <c r="P17" s="306" t="s">
        <v>644</v>
      </c>
      <c r="Q17" s="306" t="s">
        <v>20</v>
      </c>
      <c r="R17" s="306" t="s">
        <v>645</v>
      </c>
      <c r="S17" s="306" t="s">
        <v>411</v>
      </c>
      <c r="T17" s="306" t="s">
        <v>646</v>
      </c>
      <c r="U17" s="306" t="s">
        <v>502</v>
      </c>
      <c r="V17" s="306"/>
      <c r="W17" s="306" t="s">
        <v>502</v>
      </c>
      <c r="X17" s="306"/>
      <c r="Y17" s="306" t="s">
        <v>502</v>
      </c>
      <c r="Z17" s="306"/>
      <c r="AA17" s="306" t="s">
        <v>502</v>
      </c>
      <c r="AB17" s="306" t="s">
        <v>502</v>
      </c>
      <c r="AC17" s="306" t="s">
        <v>502</v>
      </c>
      <c r="AD17" s="306" t="s">
        <v>502</v>
      </c>
      <c r="AE17" s="306" t="s">
        <v>502</v>
      </c>
      <c r="AF17" s="306" t="s">
        <v>502</v>
      </c>
      <c r="AG17" s="306" t="s">
        <v>502</v>
      </c>
      <c r="AH17" s="306" t="s">
        <v>502</v>
      </c>
      <c r="AI17" s="306" t="s">
        <v>502</v>
      </c>
      <c r="AJ17" s="306" t="s">
        <v>502</v>
      </c>
      <c r="AK17" s="306" t="s">
        <v>502</v>
      </c>
      <c r="AL17" s="306" t="s">
        <v>502</v>
      </c>
      <c r="AM17" s="306"/>
      <c r="AN17" s="306" t="s">
        <v>502</v>
      </c>
      <c r="AO17" s="306" t="s">
        <v>502</v>
      </c>
      <c r="AP17" s="306" t="s">
        <v>502</v>
      </c>
      <c r="AQ17" s="306" t="s">
        <v>502</v>
      </c>
      <c r="AR17" s="306" t="s">
        <v>502</v>
      </c>
      <c r="AS17" s="306" t="s">
        <v>502</v>
      </c>
      <c r="AT17" s="306" t="s">
        <v>502</v>
      </c>
      <c r="AU17" s="306" t="s">
        <v>502</v>
      </c>
      <c r="AV17" s="306" t="s">
        <v>502</v>
      </c>
      <c r="AW17" s="306" t="s">
        <v>502</v>
      </c>
      <c r="AX17" s="306" t="s">
        <v>502</v>
      </c>
      <c r="AY17" s="306" t="s">
        <v>502</v>
      </c>
      <c r="AZ17" s="306" t="s">
        <v>502</v>
      </c>
      <c r="BA17" s="306" t="s">
        <v>502</v>
      </c>
      <c r="BB17" s="306" t="s">
        <v>502</v>
      </c>
      <c r="BC17" s="306" t="s">
        <v>502</v>
      </c>
      <c r="BD17" s="306" t="s">
        <v>502</v>
      </c>
      <c r="BE17" s="306" t="s">
        <v>502</v>
      </c>
      <c r="BF17" s="306" t="s">
        <v>502</v>
      </c>
      <c r="BG17" s="306" t="s">
        <v>502</v>
      </c>
      <c r="BH17" s="306" t="s">
        <v>502</v>
      </c>
      <c r="BI17" s="306" t="s">
        <v>502</v>
      </c>
      <c r="BJ17" s="306" t="s">
        <v>502</v>
      </c>
      <c r="BK17" s="306" t="s">
        <v>502</v>
      </c>
      <c r="BL17" s="306" t="s">
        <v>502</v>
      </c>
      <c r="BM17" s="306" t="s">
        <v>502</v>
      </c>
      <c r="BN17" s="306" t="s">
        <v>502</v>
      </c>
      <c r="BO17" s="306" t="s">
        <v>502</v>
      </c>
      <c r="BP17" s="306" t="s">
        <v>502</v>
      </c>
      <c r="BQ17" s="306" t="s">
        <v>502</v>
      </c>
      <c r="BR17" s="306" t="s">
        <v>502</v>
      </c>
      <c r="BS17" s="306" t="s">
        <v>411</v>
      </c>
      <c r="BT17" s="306" t="s">
        <v>20</v>
      </c>
      <c r="BU17" s="306">
        <v>10</v>
      </c>
      <c r="BV17" s="306" t="s">
        <v>640</v>
      </c>
      <c r="BW17" s="306" t="s">
        <v>641</v>
      </c>
      <c r="BX17" s="306"/>
      <c r="BY17" s="306"/>
      <c r="BZ17" s="306"/>
      <c r="CA17" s="306"/>
    </row>
    <row r="18" spans="1:79" hidden="1" x14ac:dyDescent="0.3">
      <c r="A18" s="306">
        <v>16</v>
      </c>
      <c r="B18" s="306" t="s">
        <v>497</v>
      </c>
      <c r="C18" s="306" t="s">
        <v>530</v>
      </c>
      <c r="D18" s="306" t="s">
        <v>553</v>
      </c>
      <c r="E18" s="306" t="s">
        <v>648</v>
      </c>
      <c r="F18" s="306" t="s">
        <v>649</v>
      </c>
      <c r="G18" s="306">
        <v>30</v>
      </c>
      <c r="H18" s="306" t="s">
        <v>525</v>
      </c>
      <c r="I18" s="306" t="s">
        <v>20</v>
      </c>
      <c r="J18" s="306" t="s">
        <v>20</v>
      </c>
      <c r="K18" s="306" t="s">
        <v>20</v>
      </c>
      <c r="L18" s="306" t="s">
        <v>20</v>
      </c>
      <c r="M18" s="306" t="s">
        <v>501</v>
      </c>
      <c r="N18" s="306" t="s">
        <v>20</v>
      </c>
      <c r="O18" s="306" t="s">
        <v>20</v>
      </c>
      <c r="P18" s="306" t="s">
        <v>584</v>
      </c>
      <c r="Q18" s="306" t="s">
        <v>502</v>
      </c>
      <c r="R18" s="306"/>
      <c r="S18" s="306" t="s">
        <v>502</v>
      </c>
      <c r="T18" s="306"/>
      <c r="U18" s="306" t="s">
        <v>20</v>
      </c>
      <c r="V18" s="306" t="s">
        <v>652</v>
      </c>
      <c r="W18" s="306" t="s">
        <v>20</v>
      </c>
      <c r="X18" s="306" t="s">
        <v>653</v>
      </c>
      <c r="Y18" s="306" t="s">
        <v>20</v>
      </c>
      <c r="Z18" s="306" t="s">
        <v>628</v>
      </c>
      <c r="AA18" s="306" t="s">
        <v>502</v>
      </c>
      <c r="AB18" s="306" t="s">
        <v>502</v>
      </c>
      <c r="AC18" s="306" t="s">
        <v>502</v>
      </c>
      <c r="AD18" s="306" t="s">
        <v>502</v>
      </c>
      <c r="AE18" s="306" t="s">
        <v>502</v>
      </c>
      <c r="AF18" s="306" t="s">
        <v>502</v>
      </c>
      <c r="AG18" s="306" t="s">
        <v>502</v>
      </c>
      <c r="AH18" s="306" t="s">
        <v>502</v>
      </c>
      <c r="AI18" s="306" t="s">
        <v>20</v>
      </c>
      <c r="AJ18" s="306" t="s">
        <v>502</v>
      </c>
      <c r="AK18" s="306" t="s">
        <v>502</v>
      </c>
      <c r="AL18" s="306" t="s">
        <v>20</v>
      </c>
      <c r="AM18" s="306" t="s">
        <v>655</v>
      </c>
      <c r="AN18" s="306" t="s">
        <v>20</v>
      </c>
      <c r="AO18" s="306" t="s">
        <v>20</v>
      </c>
      <c r="AP18" s="306" t="s">
        <v>20</v>
      </c>
      <c r="AQ18" s="306" t="s">
        <v>20</v>
      </c>
      <c r="AR18" s="306" t="s">
        <v>20</v>
      </c>
      <c r="AS18" s="306" t="s">
        <v>20</v>
      </c>
      <c r="AT18" s="306" t="s">
        <v>20</v>
      </c>
      <c r="AU18" s="306" t="s">
        <v>20</v>
      </c>
      <c r="AV18" s="306" t="s">
        <v>20</v>
      </c>
      <c r="AW18" s="306" t="s">
        <v>20</v>
      </c>
      <c r="AX18" s="306" t="s">
        <v>20</v>
      </c>
      <c r="AY18" s="306" t="s">
        <v>20</v>
      </c>
      <c r="AZ18" s="306" t="s">
        <v>20</v>
      </c>
      <c r="BA18" s="306" t="s">
        <v>20</v>
      </c>
      <c r="BB18" s="306" t="s">
        <v>20</v>
      </c>
      <c r="BC18" s="306" t="s">
        <v>20</v>
      </c>
      <c r="BD18" s="306" t="s">
        <v>20</v>
      </c>
      <c r="BE18" s="306" t="s">
        <v>20</v>
      </c>
      <c r="BF18" s="306" t="s">
        <v>20</v>
      </c>
      <c r="BG18" s="306" t="s">
        <v>20</v>
      </c>
      <c r="BH18" s="306" t="s">
        <v>20</v>
      </c>
      <c r="BI18" s="306" t="s">
        <v>20</v>
      </c>
      <c r="BJ18" s="306" t="s">
        <v>20</v>
      </c>
      <c r="BK18" s="306" t="s">
        <v>20</v>
      </c>
      <c r="BL18" s="306" t="s">
        <v>502</v>
      </c>
      <c r="BM18" s="306" t="s">
        <v>502</v>
      </c>
      <c r="BN18" s="306" t="s">
        <v>502</v>
      </c>
      <c r="BO18" s="306" t="s">
        <v>502</v>
      </c>
      <c r="BP18" s="306" t="s">
        <v>502</v>
      </c>
      <c r="BQ18" s="306" t="s">
        <v>502</v>
      </c>
      <c r="BR18" s="306" t="s">
        <v>502</v>
      </c>
      <c r="BS18" s="306" t="s">
        <v>20</v>
      </c>
      <c r="BT18" s="306" t="s">
        <v>20</v>
      </c>
      <c r="BU18" s="306">
        <v>10</v>
      </c>
      <c r="BV18" s="306" t="s">
        <v>650</v>
      </c>
      <c r="BW18" s="306" t="s">
        <v>651</v>
      </c>
      <c r="BX18" s="306"/>
      <c r="BY18" s="306"/>
    </row>
    <row r="19" spans="1:79" hidden="1" x14ac:dyDescent="0.3">
      <c r="A19" s="306">
        <v>17</v>
      </c>
      <c r="B19" s="306" t="s">
        <v>523</v>
      </c>
      <c r="C19" s="306" t="s">
        <v>550</v>
      </c>
      <c r="D19" s="306" t="s">
        <v>656</v>
      </c>
      <c r="E19" s="306"/>
      <c r="F19" s="306"/>
      <c r="G19" s="306"/>
      <c r="H19" s="306" t="s">
        <v>543</v>
      </c>
      <c r="I19" s="306"/>
      <c r="J19" s="306"/>
      <c r="K19" s="306"/>
      <c r="L19" s="306"/>
      <c r="M19" s="306"/>
      <c r="N19" s="306"/>
      <c r="O19" s="306"/>
      <c r="P19" s="306"/>
      <c r="Q19" s="306"/>
      <c r="R19" s="306"/>
      <c r="S19" s="306"/>
      <c r="T19" s="306"/>
      <c r="U19" s="306"/>
      <c r="V19" s="306"/>
      <c r="W19" s="306"/>
      <c r="X19" s="306"/>
      <c r="Y19" s="306"/>
      <c r="Z19" s="306"/>
      <c r="AA19" s="306"/>
      <c r="AB19" s="306"/>
      <c r="AC19" s="306"/>
      <c r="AD19" s="306"/>
      <c r="AE19" s="306"/>
      <c r="AF19" s="306"/>
      <c r="AG19" s="306"/>
      <c r="AH19" s="306"/>
      <c r="AI19" s="306"/>
      <c r="AJ19" s="306"/>
      <c r="AK19" s="306"/>
      <c r="AL19" s="306"/>
      <c r="AM19" s="306"/>
      <c r="AN19" s="306"/>
      <c r="AO19" s="306"/>
      <c r="AP19" s="306"/>
      <c r="AQ19" s="306"/>
      <c r="AR19" s="306"/>
      <c r="AS19" s="306"/>
      <c r="AT19" s="306"/>
      <c r="AU19" s="306"/>
      <c r="AV19" s="306"/>
      <c r="AW19" s="306"/>
      <c r="AX19" s="306"/>
      <c r="AY19" s="306"/>
      <c r="AZ19" s="306"/>
      <c r="BA19" s="306"/>
      <c r="BB19" s="306"/>
      <c r="BC19" s="306"/>
      <c r="BD19" s="306"/>
      <c r="BE19" s="306"/>
      <c r="BF19" s="306"/>
      <c r="BG19" s="306"/>
      <c r="BH19" s="306"/>
      <c r="BI19" s="306"/>
      <c r="BJ19" s="306"/>
      <c r="BK19" s="306"/>
      <c r="BL19" s="306"/>
      <c r="BM19" s="306"/>
      <c r="BN19" s="306"/>
      <c r="BO19" s="306"/>
      <c r="BP19" s="306"/>
      <c r="BQ19" s="306"/>
      <c r="BR19" s="306"/>
      <c r="BS19" s="306"/>
      <c r="BT19" s="306"/>
      <c r="BU19" s="306"/>
      <c r="BV19" s="306"/>
      <c r="BW19" s="306"/>
    </row>
    <row r="20" spans="1:79" hidden="1" x14ac:dyDescent="0.3">
      <c r="A20" s="306">
        <v>18</v>
      </c>
      <c r="B20" s="306" t="s">
        <v>523</v>
      </c>
      <c r="C20" s="306" t="s">
        <v>662</v>
      </c>
      <c r="D20" s="306" t="s">
        <v>657</v>
      </c>
      <c r="E20" s="306"/>
      <c r="F20" s="306"/>
      <c r="G20" s="306"/>
      <c r="H20" s="306" t="s">
        <v>525</v>
      </c>
      <c r="I20" s="306"/>
      <c r="J20" s="306"/>
      <c r="K20" s="306"/>
      <c r="L20" s="306"/>
      <c r="M20" s="306" t="s">
        <v>661</v>
      </c>
      <c r="N20" s="306"/>
      <c r="O20" s="306"/>
      <c r="P20" s="306"/>
      <c r="Q20" s="306"/>
      <c r="R20" s="306"/>
      <c r="S20" s="306"/>
      <c r="T20" s="306"/>
      <c r="U20" s="306"/>
      <c r="V20" s="306"/>
      <c r="W20" s="306"/>
      <c r="X20" s="306"/>
      <c r="Y20" s="306"/>
      <c r="Z20" s="306"/>
      <c r="AA20" s="306"/>
      <c r="AB20" s="306"/>
      <c r="AC20" s="306"/>
      <c r="AD20" s="306"/>
      <c r="AE20" s="306"/>
      <c r="AF20" s="306"/>
      <c r="AG20" s="306"/>
      <c r="AH20" s="306"/>
      <c r="AI20" s="306"/>
      <c r="AJ20" s="306"/>
      <c r="AK20" s="306"/>
      <c r="AL20" s="306"/>
      <c r="AM20" s="306"/>
      <c r="AN20" s="306"/>
      <c r="AO20" s="306"/>
      <c r="AP20" s="306"/>
      <c r="AQ20" s="306"/>
      <c r="AR20" s="306"/>
      <c r="AS20" s="306"/>
      <c r="AT20" s="306"/>
      <c r="AU20" s="306"/>
      <c r="AV20" s="306"/>
      <c r="AW20" s="306"/>
      <c r="AX20" s="306"/>
      <c r="AY20" s="306"/>
      <c r="AZ20" s="306"/>
      <c r="BA20" s="306"/>
      <c r="BB20" s="306"/>
      <c r="BC20" s="306"/>
      <c r="BD20" s="306"/>
      <c r="BE20" s="306"/>
      <c r="BF20" s="306"/>
      <c r="BG20" s="306"/>
      <c r="BH20" s="306"/>
      <c r="BI20" s="306"/>
      <c r="BJ20" s="306"/>
      <c r="BK20" s="306"/>
      <c r="BL20" s="306"/>
      <c r="BM20" s="306"/>
      <c r="BN20" s="306"/>
      <c r="BO20" s="306"/>
      <c r="BP20" s="306"/>
      <c r="BQ20" s="306"/>
      <c r="BR20" s="306"/>
      <c r="BS20" s="306"/>
      <c r="BT20" s="306"/>
      <c r="BU20" s="306"/>
      <c r="BV20" s="306"/>
      <c r="BW20" s="306"/>
    </row>
    <row r="21" spans="1:79" hidden="1" x14ac:dyDescent="0.3">
      <c r="A21" s="306">
        <v>19</v>
      </c>
      <c r="B21" s="306" t="s">
        <v>523</v>
      </c>
      <c r="C21" s="306" t="s">
        <v>542</v>
      </c>
      <c r="D21" s="306" t="s">
        <v>658</v>
      </c>
      <c r="E21" s="306"/>
      <c r="F21" s="306"/>
      <c r="G21" s="306"/>
      <c r="H21" s="306" t="s">
        <v>521</v>
      </c>
      <c r="I21" s="306"/>
      <c r="J21" s="306"/>
      <c r="K21" s="306"/>
      <c r="L21" s="306"/>
      <c r="M21" s="306"/>
      <c r="N21" s="306"/>
      <c r="O21" s="306"/>
      <c r="P21" s="306"/>
      <c r="Q21" s="306"/>
      <c r="R21" s="306"/>
      <c r="S21" s="306"/>
      <c r="T21" s="306"/>
      <c r="U21" s="306"/>
      <c r="V21" s="306"/>
      <c r="W21" s="306"/>
      <c r="X21" s="306"/>
      <c r="Y21" s="306"/>
      <c r="Z21" s="306"/>
      <c r="AA21" s="306"/>
      <c r="AB21" s="306"/>
      <c r="AC21" s="306"/>
      <c r="AD21" s="306"/>
      <c r="AE21" s="306"/>
      <c r="AF21" s="306"/>
      <c r="AG21" s="306"/>
      <c r="AH21" s="306"/>
      <c r="AI21" s="306"/>
      <c r="AJ21" s="306"/>
      <c r="AK21" s="306"/>
      <c r="AL21" s="306"/>
      <c r="AM21" s="306"/>
      <c r="AN21" s="306"/>
      <c r="AO21" s="306"/>
      <c r="AP21" s="306"/>
      <c r="AQ21" s="306"/>
      <c r="AR21" s="306"/>
      <c r="AS21" s="306"/>
      <c r="AT21" s="306"/>
      <c r="AU21" s="306"/>
      <c r="AV21" s="306"/>
      <c r="AW21" s="306"/>
      <c r="AX21" s="306"/>
      <c r="AY21" s="306"/>
      <c r="AZ21" s="306"/>
      <c r="BA21" s="306"/>
      <c r="BB21" s="306"/>
      <c r="BC21" s="306"/>
      <c r="BD21" s="306"/>
      <c r="BE21" s="306"/>
      <c r="BF21" s="306"/>
      <c r="BG21" s="306"/>
      <c r="BH21" s="306"/>
      <c r="BI21" s="306"/>
      <c r="BJ21" s="306"/>
      <c r="BK21" s="306"/>
      <c r="BL21" s="306"/>
      <c r="BM21" s="306"/>
      <c r="BN21" s="306"/>
      <c r="BO21" s="306"/>
      <c r="BP21" s="306"/>
      <c r="BQ21" s="306"/>
      <c r="BR21" s="306"/>
      <c r="BS21" s="306"/>
      <c r="BT21" s="306"/>
      <c r="BU21" s="306"/>
      <c r="BV21" s="306"/>
      <c r="BW21" s="306"/>
    </row>
    <row r="22" spans="1:79" hidden="1" x14ac:dyDescent="0.3">
      <c r="A22" s="306">
        <v>20</v>
      </c>
      <c r="B22" s="306" t="s">
        <v>520</v>
      </c>
      <c r="C22" s="306" t="s">
        <v>659</v>
      </c>
      <c r="D22" s="306" t="s">
        <v>657</v>
      </c>
      <c r="H22" s="306" t="s">
        <v>525</v>
      </c>
      <c r="M22" t="s">
        <v>660</v>
      </c>
    </row>
    <row r="23" spans="1:79" hidden="1" x14ac:dyDescent="0.3">
      <c r="A23" s="306">
        <v>21</v>
      </c>
      <c r="B23" s="306" t="s">
        <v>504</v>
      </c>
      <c r="C23" s="306" t="s">
        <v>662</v>
      </c>
      <c r="D23" s="306" t="s">
        <v>657</v>
      </c>
      <c r="H23" s="306" t="s">
        <v>525</v>
      </c>
    </row>
    <row r="24" spans="1:79" hidden="1" x14ac:dyDescent="0.3">
      <c r="A24" s="306">
        <v>22</v>
      </c>
      <c r="B24" s="306" t="s">
        <v>497</v>
      </c>
      <c r="C24" s="306" t="s">
        <v>542</v>
      </c>
      <c r="D24" s="306" t="s">
        <v>658</v>
      </c>
      <c r="H24" s="306" t="s">
        <v>543</v>
      </c>
    </row>
    <row r="25" spans="1:79" hidden="1" x14ac:dyDescent="0.3">
      <c r="A25" s="306">
        <v>23</v>
      </c>
      <c r="B25" s="306" t="s">
        <v>533</v>
      </c>
      <c r="C25" s="306" t="s">
        <v>542</v>
      </c>
      <c r="D25" s="306" t="s">
        <v>658</v>
      </c>
      <c r="H25" s="306" t="s">
        <v>543</v>
      </c>
    </row>
    <row r="26" spans="1:79" hidden="1" x14ac:dyDescent="0.3">
      <c r="A26" s="306">
        <v>24</v>
      </c>
      <c r="B26" s="306" t="s">
        <v>537</v>
      </c>
      <c r="C26" s="306" t="s">
        <v>542</v>
      </c>
      <c r="D26" s="306" t="s">
        <v>658</v>
      </c>
      <c r="H26" s="306" t="s">
        <v>543</v>
      </c>
    </row>
    <row r="27" spans="1:79" hidden="1" x14ac:dyDescent="0.3">
      <c r="A27" s="306">
        <v>25</v>
      </c>
      <c r="B27" s="306" t="s">
        <v>663</v>
      </c>
      <c r="C27" s="306" t="s">
        <v>550</v>
      </c>
      <c r="D27" s="306" t="s">
        <v>656</v>
      </c>
      <c r="H27" s="306" t="s">
        <v>543</v>
      </c>
    </row>
    <row r="28" spans="1:79" hidden="1" x14ac:dyDescent="0.3">
      <c r="A28" s="306">
        <v>26</v>
      </c>
      <c r="B28" s="306" t="s">
        <v>663</v>
      </c>
      <c r="C28" s="306" t="s">
        <v>662</v>
      </c>
      <c r="D28" s="306" t="s">
        <v>657</v>
      </c>
      <c r="H28" s="306" t="s">
        <v>543</v>
      </c>
    </row>
    <row r="29" spans="1:79" hidden="1" x14ac:dyDescent="0.3">
      <c r="A29" s="306">
        <v>27</v>
      </c>
      <c r="B29" s="306" t="s">
        <v>663</v>
      </c>
      <c r="C29" s="306" t="s">
        <v>542</v>
      </c>
      <c r="D29" s="306" t="s">
        <v>658</v>
      </c>
      <c r="H29" s="306" t="s">
        <v>521</v>
      </c>
    </row>
    <row r="30" spans="1:79" x14ac:dyDescent="0.3">
      <c r="A30" s="306">
        <v>28</v>
      </c>
      <c r="B30" t="s">
        <v>664</v>
      </c>
      <c r="C30" s="306" t="s">
        <v>666</v>
      </c>
      <c r="D30" s="306" t="s">
        <v>667</v>
      </c>
      <c r="H30" s="306" t="s">
        <v>668</v>
      </c>
      <c r="M30" t="s">
        <v>669</v>
      </c>
    </row>
    <row r="31" spans="1:79" x14ac:dyDescent="0.3">
      <c r="A31" s="306">
        <v>29</v>
      </c>
      <c r="B31" t="s">
        <v>665</v>
      </c>
      <c r="C31" s="306" t="s">
        <v>666</v>
      </c>
      <c r="D31" s="306" t="s">
        <v>667</v>
      </c>
      <c r="H31" s="306" t="s">
        <v>668</v>
      </c>
      <c r="M31" t="s">
        <v>660</v>
      </c>
    </row>
    <row r="32" spans="1:79" hidden="1" x14ac:dyDescent="0.3">
      <c r="A32" s="306">
        <v>30</v>
      </c>
      <c r="B32" s="306" t="s">
        <v>670</v>
      </c>
      <c r="C32" s="306" t="s">
        <v>530</v>
      </c>
      <c r="D32" s="306" t="s">
        <v>667</v>
      </c>
      <c r="H32" s="306" t="s">
        <v>525</v>
      </c>
    </row>
    <row r="33" spans="1:8" hidden="1" x14ac:dyDescent="0.3">
      <c r="A33" s="306">
        <v>31</v>
      </c>
      <c r="B33" s="306" t="s">
        <v>520</v>
      </c>
      <c r="C33" s="306" t="s">
        <v>542</v>
      </c>
      <c r="D33" s="306" t="s">
        <v>671</v>
      </c>
      <c r="H33" s="306" t="s">
        <v>543</v>
      </c>
    </row>
    <row r="34" spans="1:8" hidden="1" x14ac:dyDescent="0.3">
      <c r="A34" s="306">
        <v>32</v>
      </c>
      <c r="B34" s="306" t="s">
        <v>508</v>
      </c>
      <c r="C34" s="306" t="s">
        <v>550</v>
      </c>
      <c r="D34" s="306" t="s">
        <v>672</v>
      </c>
      <c r="H34" s="306" t="s">
        <v>543</v>
      </c>
    </row>
    <row r="35" spans="1:8" x14ac:dyDescent="0.3">
      <c r="A35" s="306">
        <v>33</v>
      </c>
      <c r="B35" s="306" t="s">
        <v>508</v>
      </c>
      <c r="C35" s="306" t="s">
        <v>542</v>
      </c>
      <c r="D35" s="306" t="s">
        <v>673</v>
      </c>
      <c r="H35" s="306" t="s">
        <v>668</v>
      </c>
    </row>
    <row r="36" spans="1:8" hidden="1" x14ac:dyDescent="0.3">
      <c r="A36" s="306">
        <v>34</v>
      </c>
      <c r="B36" s="306" t="s">
        <v>512</v>
      </c>
      <c r="C36" s="306" t="s">
        <v>542</v>
      </c>
      <c r="D36" s="306" t="s">
        <v>674</v>
      </c>
      <c r="H36" s="306" t="s">
        <v>543</v>
      </c>
    </row>
    <row r="37" spans="1:8" hidden="1" x14ac:dyDescent="0.3">
      <c r="A37" s="306">
        <v>35</v>
      </c>
      <c r="B37" s="306" t="s">
        <v>551</v>
      </c>
      <c r="C37" s="306" t="s">
        <v>542</v>
      </c>
      <c r="D37" s="306" t="s">
        <v>671</v>
      </c>
      <c r="H37" s="306" t="s">
        <v>543</v>
      </c>
    </row>
    <row r="38" spans="1:8" hidden="1" x14ac:dyDescent="0.3">
      <c r="A38" s="306">
        <v>36</v>
      </c>
      <c r="B38" s="306" t="s">
        <v>675</v>
      </c>
      <c r="C38" s="306" t="s">
        <v>509</v>
      </c>
      <c r="D38" s="306" t="s">
        <v>658</v>
      </c>
      <c r="H38" s="306" t="s">
        <v>500</v>
      </c>
    </row>
    <row r="39" spans="1:8" hidden="1" x14ac:dyDescent="0.3">
      <c r="A39" s="306">
        <v>37</v>
      </c>
      <c r="B39" s="306" t="s">
        <v>675</v>
      </c>
      <c r="C39" s="306" t="s">
        <v>542</v>
      </c>
      <c r="D39" s="306" t="s">
        <v>674</v>
      </c>
      <c r="H39" s="306" t="s">
        <v>543</v>
      </c>
    </row>
    <row r="40" spans="1:8" hidden="1" x14ac:dyDescent="0.3">
      <c r="A40" s="306">
        <v>38</v>
      </c>
      <c r="B40" s="306" t="s">
        <v>529</v>
      </c>
      <c r="C40" s="306" t="s">
        <v>676</v>
      </c>
      <c r="D40" s="306" t="s">
        <v>671</v>
      </c>
      <c r="H40" s="306" t="s">
        <v>500</v>
      </c>
    </row>
    <row r="41" spans="1:8" hidden="1" x14ac:dyDescent="0.3">
      <c r="A41" s="306">
        <v>39</v>
      </c>
      <c r="B41" s="306" t="s">
        <v>677</v>
      </c>
      <c r="C41" s="306" t="s">
        <v>678</v>
      </c>
      <c r="D41" s="306" t="s">
        <v>674</v>
      </c>
      <c r="H41" s="306" t="s">
        <v>500</v>
      </c>
    </row>
    <row r="42" spans="1:8" hidden="1" x14ac:dyDescent="0.3">
      <c r="A42" s="306">
        <v>40</v>
      </c>
      <c r="B42" s="306" t="s">
        <v>677</v>
      </c>
      <c r="C42" s="306" t="s">
        <v>679</v>
      </c>
      <c r="D42" s="306" t="s">
        <v>674</v>
      </c>
      <c r="H42" s="306" t="s">
        <v>525</v>
      </c>
    </row>
    <row r="43" spans="1:8" hidden="1" x14ac:dyDescent="0.3">
      <c r="A43" s="306">
        <v>41</v>
      </c>
      <c r="B43" t="s">
        <v>664</v>
      </c>
      <c r="C43" s="306" t="s">
        <v>682</v>
      </c>
      <c r="D43" s="306" t="s">
        <v>680</v>
      </c>
      <c r="H43" s="306" t="s">
        <v>543</v>
      </c>
    </row>
    <row r="44" spans="1:8" hidden="1" x14ac:dyDescent="0.3">
      <c r="A44" s="306">
        <v>42</v>
      </c>
      <c r="B44" t="s">
        <v>664</v>
      </c>
      <c r="C44" s="306" t="s">
        <v>683</v>
      </c>
      <c r="D44" s="306" t="s">
        <v>681</v>
      </c>
      <c r="H44" s="306" t="s">
        <v>525</v>
      </c>
    </row>
    <row r="45" spans="1:8" hidden="1" x14ac:dyDescent="0.3">
      <c r="A45" s="306">
        <v>43</v>
      </c>
      <c r="B45" t="s">
        <v>665</v>
      </c>
      <c r="C45" s="306" t="s">
        <v>683</v>
      </c>
      <c r="D45" s="306" t="s">
        <v>671</v>
      </c>
      <c r="H45" s="306" t="s">
        <v>543</v>
      </c>
    </row>
    <row r="46" spans="1:8" hidden="1" x14ac:dyDescent="0.3">
      <c r="A46" s="306">
        <v>44</v>
      </c>
      <c r="B46" t="s">
        <v>684</v>
      </c>
      <c r="C46" s="306" t="s">
        <v>685</v>
      </c>
      <c r="D46" s="306" t="s">
        <v>671</v>
      </c>
      <c r="H46" s="306" t="s">
        <v>500</v>
      </c>
    </row>
    <row r="47" spans="1:8" x14ac:dyDescent="0.3">
      <c r="A47" s="306">
        <v>45</v>
      </c>
      <c r="B47" t="s">
        <v>684</v>
      </c>
      <c r="C47" s="306" t="s">
        <v>666</v>
      </c>
      <c r="D47" s="306" t="s">
        <v>680</v>
      </c>
      <c r="H47" s="306" t="s">
        <v>668</v>
      </c>
    </row>
    <row r="48" spans="1:8" hidden="1" x14ac:dyDescent="0.3">
      <c r="A48" s="306">
        <v>46</v>
      </c>
      <c r="B48" t="s">
        <v>686</v>
      </c>
      <c r="C48" s="306" t="s">
        <v>687</v>
      </c>
      <c r="D48" s="306" t="s">
        <v>680</v>
      </c>
      <c r="H48" s="306" t="s">
        <v>500</v>
      </c>
    </row>
    <row r="49" spans="1:8" hidden="1" x14ac:dyDescent="0.3">
      <c r="A49" s="306">
        <v>47</v>
      </c>
      <c r="B49" t="s">
        <v>670</v>
      </c>
      <c r="C49" s="306" t="s">
        <v>688</v>
      </c>
      <c r="D49" s="306" t="s">
        <v>674</v>
      </c>
      <c r="H49" s="306" t="s">
        <v>500</v>
      </c>
    </row>
    <row r="50" spans="1:8" hidden="1" x14ac:dyDescent="0.3">
      <c r="A50" s="306">
        <v>48</v>
      </c>
      <c r="B50" t="s">
        <v>520</v>
      </c>
      <c r="C50" s="306" t="s">
        <v>505</v>
      </c>
      <c r="D50" s="306" t="s">
        <v>689</v>
      </c>
      <c r="H50" s="306" t="s">
        <v>500</v>
      </c>
    </row>
    <row r="51" spans="1:8" x14ac:dyDescent="0.3">
      <c r="A51" s="306">
        <v>49</v>
      </c>
      <c r="B51" t="s">
        <v>504</v>
      </c>
      <c r="C51" s="306" t="s">
        <v>542</v>
      </c>
      <c r="D51" s="306" t="s">
        <v>689</v>
      </c>
      <c r="H51" s="306" t="s">
        <v>668</v>
      </c>
    </row>
    <row r="52" spans="1:8" hidden="1" x14ac:dyDescent="0.3">
      <c r="A52" s="306">
        <v>50</v>
      </c>
    </row>
  </sheetData>
  <autoFilter ref="A2:CA52" xr:uid="{D2CDE93D-26B2-4202-8587-257FF0D68489}">
    <filterColumn colId="7">
      <filters>
        <filter val="BR4"/>
      </filters>
    </filterColumn>
  </autoFilter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E895C-BE62-4532-A106-0AE347D1B048}">
  <dimension ref="A1:H61"/>
  <sheetViews>
    <sheetView tabSelected="1" workbookViewId="0">
      <selection activeCell="C61" sqref="C61"/>
    </sheetView>
  </sheetViews>
  <sheetFormatPr defaultRowHeight="14.4" x14ac:dyDescent="0.3"/>
  <cols>
    <col min="1" max="1" width="6.77734375" customWidth="1"/>
    <col min="3" max="3" width="28.21875" customWidth="1"/>
    <col min="4" max="4" width="23.77734375" customWidth="1"/>
    <col min="5" max="5" width="31" bestFit="1" customWidth="1"/>
    <col min="6" max="6" width="17.77734375" customWidth="1"/>
    <col min="8" max="8" width="10.77734375" bestFit="1" customWidth="1"/>
  </cols>
  <sheetData>
    <row r="1" spans="1:8" ht="15" thickBot="1" x14ac:dyDescent="0.35">
      <c r="B1" s="331" t="s">
        <v>988</v>
      </c>
      <c r="C1" s="330" t="s">
        <v>987</v>
      </c>
    </row>
    <row r="2" spans="1:8" ht="16.2" thickBot="1" x14ac:dyDescent="0.35">
      <c r="C2" s="317" t="s">
        <v>985</v>
      </c>
      <c r="E2" s="319" t="s">
        <v>986</v>
      </c>
      <c r="F2" s="318" t="s">
        <v>962</v>
      </c>
      <c r="H2" s="319" t="s">
        <v>963</v>
      </c>
    </row>
    <row r="3" spans="1:8" ht="16.2" thickBot="1" x14ac:dyDescent="0.35">
      <c r="A3">
        <v>1</v>
      </c>
      <c r="B3" t="s">
        <v>949</v>
      </c>
      <c r="C3" s="315" t="s">
        <v>946</v>
      </c>
      <c r="E3" s="320" t="s">
        <v>18</v>
      </c>
      <c r="H3" t="s">
        <v>525</v>
      </c>
    </row>
    <row r="4" spans="1:8" ht="16.2" thickBot="1" x14ac:dyDescent="0.35">
      <c r="A4">
        <v>2</v>
      </c>
      <c r="B4" t="s">
        <v>949</v>
      </c>
      <c r="C4" s="316" t="s">
        <v>520</v>
      </c>
      <c r="E4" s="320" t="s">
        <v>61</v>
      </c>
      <c r="H4" t="s">
        <v>521</v>
      </c>
    </row>
    <row r="5" spans="1:8" ht="16.2" thickBot="1" x14ac:dyDescent="0.35">
      <c r="A5">
        <v>3</v>
      </c>
      <c r="B5" t="s">
        <v>949</v>
      </c>
      <c r="C5" s="316" t="s">
        <v>508</v>
      </c>
      <c r="E5" s="320" t="s">
        <v>960</v>
      </c>
      <c r="F5" t="s">
        <v>961</v>
      </c>
      <c r="H5" t="s">
        <v>543</v>
      </c>
    </row>
    <row r="6" spans="1:8" ht="16.2" thickBot="1" x14ac:dyDescent="0.35">
      <c r="A6">
        <v>4</v>
      </c>
      <c r="B6" t="s">
        <v>950</v>
      </c>
      <c r="C6" s="316" t="s">
        <v>512</v>
      </c>
      <c r="E6" s="320" t="s">
        <v>288</v>
      </c>
      <c r="H6" t="s">
        <v>668</v>
      </c>
    </row>
    <row r="7" spans="1:8" ht="16.2" thickBot="1" x14ac:dyDescent="0.35">
      <c r="A7">
        <v>5</v>
      </c>
      <c r="B7" t="s">
        <v>950</v>
      </c>
      <c r="C7" s="316" t="s">
        <v>663</v>
      </c>
      <c r="E7" s="320" t="s">
        <v>373</v>
      </c>
      <c r="H7" t="s">
        <v>964</v>
      </c>
    </row>
    <row r="8" spans="1:8" ht="16.2" thickBot="1" x14ac:dyDescent="0.35">
      <c r="A8">
        <v>6</v>
      </c>
      <c r="B8" t="s">
        <v>950</v>
      </c>
      <c r="C8" s="316" t="s">
        <v>551</v>
      </c>
      <c r="E8" s="320" t="s">
        <v>282</v>
      </c>
    </row>
    <row r="9" spans="1:8" ht="16.2" thickBot="1" x14ac:dyDescent="0.35">
      <c r="A9">
        <v>7</v>
      </c>
      <c r="B9" t="s">
        <v>950</v>
      </c>
      <c r="C9" s="316" t="s">
        <v>947</v>
      </c>
    </row>
    <row r="10" spans="1:8" ht="16.2" thickBot="1" x14ac:dyDescent="0.35">
      <c r="A10">
        <v>8</v>
      </c>
      <c r="B10" t="s">
        <v>950</v>
      </c>
      <c r="C10" s="316" t="s">
        <v>948</v>
      </c>
    </row>
    <row r="11" spans="1:8" ht="16.2" thickBot="1" x14ac:dyDescent="0.35">
      <c r="A11">
        <v>9</v>
      </c>
      <c r="B11" t="s">
        <v>950</v>
      </c>
      <c r="C11" s="316" t="s">
        <v>504</v>
      </c>
    </row>
    <row r="12" spans="1:8" ht="16.2" thickBot="1" x14ac:dyDescent="0.35">
      <c r="A12">
        <v>10</v>
      </c>
      <c r="B12" t="s">
        <v>950</v>
      </c>
      <c r="C12" s="316" t="s">
        <v>539</v>
      </c>
    </row>
    <row r="13" spans="1:8" ht="16.2" thickBot="1" x14ac:dyDescent="0.35">
      <c r="A13">
        <v>11</v>
      </c>
      <c r="B13" t="s">
        <v>950</v>
      </c>
      <c r="C13" s="316" t="s">
        <v>533</v>
      </c>
    </row>
    <row r="14" spans="1:8" ht="16.2" thickBot="1" x14ac:dyDescent="0.35">
      <c r="A14">
        <v>12</v>
      </c>
      <c r="B14" t="s">
        <v>950</v>
      </c>
      <c r="C14" s="316" t="s">
        <v>537</v>
      </c>
    </row>
    <row r="15" spans="1:8" ht="16.2" thickBot="1" x14ac:dyDescent="0.35">
      <c r="A15" s="473">
        <v>13</v>
      </c>
      <c r="B15" s="473" t="s">
        <v>950</v>
      </c>
      <c r="C15" s="474" t="s">
        <v>959</v>
      </c>
      <c r="D15" t="s">
        <v>989</v>
      </c>
    </row>
    <row r="16" spans="1:8" ht="16.2" thickBot="1" x14ac:dyDescent="0.35">
      <c r="A16">
        <v>14</v>
      </c>
      <c r="B16" t="s">
        <v>950</v>
      </c>
      <c r="C16" s="316" t="s">
        <v>958</v>
      </c>
    </row>
    <row r="17" spans="1:5" ht="16.2" thickBot="1" x14ac:dyDescent="0.35">
      <c r="A17">
        <v>15</v>
      </c>
      <c r="B17" t="s">
        <v>950</v>
      </c>
      <c r="C17" s="316" t="s">
        <v>957</v>
      </c>
    </row>
    <row r="18" spans="1:5" ht="16.2" thickBot="1" x14ac:dyDescent="0.35">
      <c r="A18">
        <v>16</v>
      </c>
      <c r="B18" t="s">
        <v>950</v>
      </c>
      <c r="C18" s="316" t="s">
        <v>956</v>
      </c>
    </row>
    <row r="19" spans="1:5" ht="16.2" thickBot="1" x14ac:dyDescent="0.35">
      <c r="A19">
        <v>17</v>
      </c>
      <c r="B19" t="s">
        <v>950</v>
      </c>
      <c r="C19" s="316" t="s">
        <v>955</v>
      </c>
    </row>
    <row r="20" spans="1:5" ht="16.2" thickBot="1" x14ac:dyDescent="0.35">
      <c r="A20">
        <v>18</v>
      </c>
      <c r="B20" t="s">
        <v>950</v>
      </c>
      <c r="C20" s="316" t="s">
        <v>954</v>
      </c>
    </row>
    <row r="21" spans="1:5" ht="16.2" thickBot="1" x14ac:dyDescent="0.35">
      <c r="A21">
        <v>19</v>
      </c>
      <c r="B21" t="s">
        <v>950</v>
      </c>
      <c r="C21" s="316" t="s">
        <v>953</v>
      </c>
    </row>
    <row r="22" spans="1:5" ht="16.2" thickBot="1" x14ac:dyDescent="0.35">
      <c r="A22">
        <v>20</v>
      </c>
      <c r="B22" t="s">
        <v>950</v>
      </c>
      <c r="C22" s="316" t="s">
        <v>684</v>
      </c>
    </row>
    <row r="23" spans="1:5" ht="16.2" thickBot="1" x14ac:dyDescent="0.35">
      <c r="A23">
        <v>21</v>
      </c>
      <c r="B23" t="s">
        <v>950</v>
      </c>
      <c r="C23" s="316" t="s">
        <v>951</v>
      </c>
    </row>
    <row r="24" spans="1:5" ht="16.2" thickBot="1" x14ac:dyDescent="0.35">
      <c r="A24">
        <v>22</v>
      </c>
      <c r="B24" t="s">
        <v>950</v>
      </c>
      <c r="C24" s="316" t="s">
        <v>952</v>
      </c>
    </row>
    <row r="27" spans="1:5" ht="16.8" x14ac:dyDescent="0.3">
      <c r="C27" s="321" t="s">
        <v>965</v>
      </c>
      <c r="D27" s="329"/>
      <c r="E27" s="329"/>
    </row>
    <row r="28" spans="1:5" x14ac:dyDescent="0.3">
      <c r="C28" s="327" t="s">
        <v>990</v>
      </c>
      <c r="D28" s="329"/>
      <c r="E28" s="329"/>
    </row>
    <row r="29" spans="1:5" x14ac:dyDescent="0.3">
      <c r="C29" s="322" t="s">
        <v>991</v>
      </c>
      <c r="D29" s="329"/>
      <c r="E29" s="329"/>
    </row>
    <row r="30" spans="1:5" x14ac:dyDescent="0.3">
      <c r="C30" s="322" t="s">
        <v>966</v>
      </c>
      <c r="D30" s="329"/>
      <c r="E30" s="329"/>
    </row>
    <row r="31" spans="1:5" x14ac:dyDescent="0.3">
      <c r="C31" s="322" t="s">
        <v>967</v>
      </c>
      <c r="D31" s="329"/>
      <c r="E31" s="329"/>
    </row>
    <row r="32" spans="1:5" x14ac:dyDescent="0.3">
      <c r="C32" s="322"/>
      <c r="D32" s="329"/>
      <c r="E32" s="329"/>
    </row>
    <row r="33" spans="3:5" x14ac:dyDescent="0.3">
      <c r="C33" s="327" t="s">
        <v>992</v>
      </c>
      <c r="D33" s="329"/>
      <c r="E33" s="329"/>
    </row>
    <row r="34" spans="3:5" x14ac:dyDescent="0.3">
      <c r="C34" s="327" t="s">
        <v>993</v>
      </c>
      <c r="D34" s="329"/>
      <c r="E34" s="329"/>
    </row>
    <row r="35" spans="3:5" x14ac:dyDescent="0.3">
      <c r="C35" s="322" t="s">
        <v>994</v>
      </c>
      <c r="D35" s="329"/>
      <c r="E35" s="329"/>
    </row>
    <row r="36" spans="3:5" x14ac:dyDescent="0.3">
      <c r="C36" s="323"/>
      <c r="D36" s="329"/>
      <c r="E36" s="329"/>
    </row>
    <row r="37" spans="3:5" ht="15.6" x14ac:dyDescent="0.3">
      <c r="C37" s="324" t="s">
        <v>968</v>
      </c>
      <c r="D37" s="329"/>
      <c r="E37" s="329"/>
    </row>
    <row r="38" spans="3:5" x14ac:dyDescent="0.3">
      <c r="C38" s="329" t="s">
        <v>972</v>
      </c>
      <c r="D38" s="329"/>
      <c r="E38" s="329"/>
    </row>
    <row r="39" spans="3:5" x14ac:dyDescent="0.3">
      <c r="C39" s="325" t="s">
        <v>18</v>
      </c>
      <c r="D39" s="329" t="s">
        <v>970</v>
      </c>
      <c r="E39" s="329"/>
    </row>
    <row r="40" spans="3:5" x14ac:dyDescent="0.3">
      <c r="C40" s="329"/>
      <c r="D40" s="329" t="s">
        <v>969</v>
      </c>
      <c r="E40" s="329" t="s">
        <v>971</v>
      </c>
    </row>
    <row r="41" spans="3:5" x14ac:dyDescent="0.3">
      <c r="C41" s="329"/>
      <c r="D41" s="329"/>
      <c r="E41" s="329"/>
    </row>
    <row r="42" spans="3:5" x14ac:dyDescent="0.3">
      <c r="C42" s="329"/>
      <c r="D42" s="329"/>
      <c r="E42" s="329"/>
    </row>
    <row r="43" spans="3:5" ht="15.6" x14ac:dyDescent="0.3">
      <c r="C43" s="324" t="s">
        <v>973</v>
      </c>
      <c r="D43" s="329"/>
      <c r="E43" s="329"/>
    </row>
    <row r="44" spans="3:5" ht="15.6" x14ac:dyDescent="0.3">
      <c r="C44" s="324" t="s">
        <v>977</v>
      </c>
      <c r="D44" s="329"/>
      <c r="E44" s="329"/>
    </row>
    <row r="45" spans="3:5" x14ac:dyDescent="0.3">
      <c r="C45" s="326" t="s">
        <v>974</v>
      </c>
      <c r="D45" s="329"/>
      <c r="E45" s="329"/>
    </row>
    <row r="46" spans="3:5" x14ac:dyDescent="0.3">
      <c r="C46" s="326" t="s">
        <v>975</v>
      </c>
      <c r="D46" s="329"/>
      <c r="E46" s="329"/>
    </row>
    <row r="47" spans="3:5" x14ac:dyDescent="0.3">
      <c r="C47" s="326" t="s">
        <v>976</v>
      </c>
      <c r="D47" s="329"/>
      <c r="E47" s="329"/>
    </row>
    <row r="48" spans="3:5" x14ac:dyDescent="0.3">
      <c r="C48" s="329"/>
      <c r="D48" s="329"/>
      <c r="E48" s="329"/>
    </row>
    <row r="49" spans="3:5" x14ac:dyDescent="0.3">
      <c r="C49" s="329"/>
      <c r="D49" s="329"/>
      <c r="E49" s="329"/>
    </row>
    <row r="50" spans="3:5" ht="16.8" x14ac:dyDescent="0.3">
      <c r="C50" s="328" t="s">
        <v>979</v>
      </c>
      <c r="D50" s="329"/>
      <c r="E50" s="329"/>
    </row>
    <row r="51" spans="3:5" x14ac:dyDescent="0.3">
      <c r="C51" s="322" t="s">
        <v>995</v>
      </c>
      <c r="D51" s="329"/>
      <c r="E51" s="329"/>
    </row>
    <row r="52" spans="3:5" x14ac:dyDescent="0.3">
      <c r="C52" s="326" t="s">
        <v>996</v>
      </c>
      <c r="D52" s="329"/>
      <c r="E52" s="329"/>
    </row>
    <row r="53" spans="3:5" x14ac:dyDescent="0.3">
      <c r="C53" s="326" t="s">
        <v>981</v>
      </c>
      <c r="D53" s="329"/>
      <c r="E53" s="329"/>
    </row>
    <row r="54" spans="3:5" x14ac:dyDescent="0.3">
      <c r="C54" s="326" t="s">
        <v>982</v>
      </c>
      <c r="D54" s="329"/>
      <c r="E54" s="329"/>
    </row>
    <row r="55" spans="3:5" x14ac:dyDescent="0.3">
      <c r="C55" s="326" t="s">
        <v>983</v>
      </c>
      <c r="D55" s="329"/>
      <c r="E55" s="329"/>
    </row>
    <row r="56" spans="3:5" x14ac:dyDescent="0.3">
      <c r="C56" s="326" t="s">
        <v>984</v>
      </c>
      <c r="D56" s="329"/>
      <c r="E56" s="329"/>
    </row>
    <row r="57" spans="3:5" x14ac:dyDescent="0.3">
      <c r="C57" s="326" t="s">
        <v>980</v>
      </c>
      <c r="D57" s="329"/>
      <c r="E57" s="329"/>
    </row>
    <row r="58" spans="3:5" x14ac:dyDescent="0.3">
      <c r="C58" s="326" t="s">
        <v>978</v>
      </c>
      <c r="D58" s="329"/>
      <c r="E58" s="329"/>
    </row>
    <row r="60" spans="3:5" x14ac:dyDescent="0.3">
      <c r="C60" s="326" t="s">
        <v>997</v>
      </c>
    </row>
    <row r="61" spans="3:5" x14ac:dyDescent="0.3">
      <c r="C61" s="322" t="s">
        <v>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2A037-36B7-4393-B14C-7E7B979002B4}">
  <sheetPr>
    <tabColor rgb="FFFF99CC"/>
  </sheetPr>
  <dimension ref="A1:AY20"/>
  <sheetViews>
    <sheetView zoomScale="87" zoomScaleNormal="87" workbookViewId="0">
      <selection activeCell="AC13" sqref="AC13"/>
    </sheetView>
  </sheetViews>
  <sheetFormatPr defaultRowHeight="14.4" x14ac:dyDescent="0.3"/>
  <cols>
    <col min="13" max="13" width="9.109375" customWidth="1"/>
    <col min="16" max="16" width="9.109375" customWidth="1"/>
    <col min="18" max="18" width="9.109375" customWidth="1"/>
    <col min="20" max="20" width="9.109375" customWidth="1"/>
    <col min="24" max="24" width="9.109375" customWidth="1"/>
  </cols>
  <sheetData>
    <row r="1" spans="1:51" ht="48" customHeight="1" x14ac:dyDescent="0.3">
      <c r="A1" s="299" t="s">
        <v>451</v>
      </c>
      <c r="B1" s="299" t="s">
        <v>452</v>
      </c>
      <c r="C1" s="299" t="s">
        <v>453</v>
      </c>
      <c r="D1" s="300" t="s">
        <v>454</v>
      </c>
      <c r="E1" s="301" t="s">
        <v>455</v>
      </c>
      <c r="F1" s="301" t="s">
        <v>456</v>
      </c>
      <c r="G1" s="300" t="s">
        <v>457</v>
      </c>
      <c r="H1" s="300" t="s">
        <v>458</v>
      </c>
      <c r="I1" s="299" t="s">
        <v>459</v>
      </c>
      <c r="J1" s="299" t="s">
        <v>460</v>
      </c>
      <c r="K1" s="299" t="s">
        <v>461</v>
      </c>
      <c r="L1" s="299" t="s">
        <v>462</v>
      </c>
      <c r="M1" s="299" t="s">
        <v>463</v>
      </c>
      <c r="N1" s="299" t="s">
        <v>393</v>
      </c>
      <c r="O1" s="299" t="s">
        <v>464</v>
      </c>
      <c r="P1" s="299" t="s">
        <v>558</v>
      </c>
      <c r="Q1" s="299" t="s">
        <v>548</v>
      </c>
      <c r="R1" s="299" t="s">
        <v>558</v>
      </c>
      <c r="S1" s="300" t="s">
        <v>549</v>
      </c>
      <c r="T1" s="299" t="s">
        <v>558</v>
      </c>
      <c r="U1" s="299" t="s">
        <v>467</v>
      </c>
      <c r="V1" s="299" t="s">
        <v>428</v>
      </c>
      <c r="W1" s="299" t="s">
        <v>468</v>
      </c>
      <c r="X1" s="299" t="s">
        <v>558</v>
      </c>
      <c r="Y1" s="299" t="s">
        <v>469</v>
      </c>
      <c r="Z1" s="299" t="s">
        <v>470</v>
      </c>
      <c r="AA1" s="299" t="s">
        <v>471</v>
      </c>
      <c r="AB1" s="299" t="s">
        <v>472</v>
      </c>
      <c r="AC1" s="299" t="s">
        <v>473</v>
      </c>
      <c r="AD1" s="300" t="s">
        <v>474</v>
      </c>
      <c r="AE1" s="299" t="s">
        <v>475</v>
      </c>
      <c r="AF1" s="300" t="s">
        <v>476</v>
      </c>
      <c r="AG1" s="299" t="s">
        <v>477</v>
      </c>
      <c r="AH1" s="299" t="s">
        <v>478</v>
      </c>
      <c r="AI1" s="299" t="s">
        <v>479</v>
      </c>
      <c r="AJ1" s="299" t="s">
        <v>480</v>
      </c>
      <c r="AK1" s="299" t="s">
        <v>481</v>
      </c>
      <c r="AL1" s="299" t="s">
        <v>482</v>
      </c>
      <c r="AM1" s="299" t="s">
        <v>483</v>
      </c>
      <c r="AN1" s="299" t="s">
        <v>484</v>
      </c>
      <c r="AO1" s="299" t="s">
        <v>485</v>
      </c>
      <c r="AP1" s="299" t="s">
        <v>486</v>
      </c>
      <c r="AQ1" s="299" t="s">
        <v>487</v>
      </c>
      <c r="AR1" s="299" t="s">
        <v>489</v>
      </c>
      <c r="AS1" s="299" t="s">
        <v>488</v>
      </c>
      <c r="AT1" s="302" t="s">
        <v>490</v>
      </c>
      <c r="AU1" s="302" t="s">
        <v>492</v>
      </c>
      <c r="AV1" s="303" t="s">
        <v>494</v>
      </c>
      <c r="AW1" s="299" t="s">
        <v>495</v>
      </c>
      <c r="AX1" s="303" t="s">
        <v>496</v>
      </c>
      <c r="AY1" s="304"/>
    </row>
    <row r="2" spans="1:51" x14ac:dyDescent="0.3">
      <c r="A2" s="306">
        <v>1</v>
      </c>
      <c r="B2" s="306" t="s">
        <v>529</v>
      </c>
      <c r="C2" s="306" t="s">
        <v>530</v>
      </c>
      <c r="D2" s="306" t="s">
        <v>552</v>
      </c>
      <c r="E2" s="306" t="s">
        <v>593</v>
      </c>
      <c r="F2" s="306" t="s">
        <v>594</v>
      </c>
      <c r="G2" s="306">
        <v>28</v>
      </c>
      <c r="H2" s="306" t="s">
        <v>525</v>
      </c>
      <c r="I2" s="306" t="s">
        <v>20</v>
      </c>
      <c r="J2" s="306" t="s">
        <v>20</v>
      </c>
      <c r="K2" s="306" t="s">
        <v>20</v>
      </c>
      <c r="L2" s="306" t="s">
        <v>20</v>
      </c>
      <c r="M2" s="306" t="s">
        <v>600</v>
      </c>
      <c r="N2" s="306" t="s">
        <v>20</v>
      </c>
      <c r="O2" s="306" t="s">
        <v>20</v>
      </c>
      <c r="P2" s="306" t="s">
        <v>560</v>
      </c>
      <c r="Q2" s="306" t="s">
        <v>20</v>
      </c>
      <c r="R2" s="306" t="s">
        <v>595</v>
      </c>
      <c r="S2" s="306" t="s">
        <v>20</v>
      </c>
      <c r="T2" s="306" t="s">
        <v>596</v>
      </c>
      <c r="U2" s="306" t="s">
        <v>20</v>
      </c>
      <c r="V2" s="306" t="s">
        <v>20</v>
      </c>
      <c r="W2" s="306" t="s">
        <v>20</v>
      </c>
      <c r="X2" s="306" t="s">
        <v>598</v>
      </c>
      <c r="Y2" s="306" t="s">
        <v>20</v>
      </c>
      <c r="Z2" s="306" t="s">
        <v>20</v>
      </c>
      <c r="AA2" s="306" t="s">
        <v>20</v>
      </c>
      <c r="AB2" s="306" t="s">
        <v>20</v>
      </c>
      <c r="AC2" s="306" t="s">
        <v>20</v>
      </c>
      <c r="AD2" s="306" t="s">
        <v>20</v>
      </c>
      <c r="AE2" s="306" t="s">
        <v>20</v>
      </c>
      <c r="AF2" s="306" t="s">
        <v>20</v>
      </c>
      <c r="AG2" s="306" t="s">
        <v>411</v>
      </c>
      <c r="AH2" s="306" t="s">
        <v>411</v>
      </c>
      <c r="AI2" s="306" t="s">
        <v>411</v>
      </c>
      <c r="AJ2" s="306" t="s">
        <v>411</v>
      </c>
      <c r="AK2" s="306" t="s">
        <v>20</v>
      </c>
      <c r="AL2" s="306" t="s">
        <v>20</v>
      </c>
      <c r="AM2" s="306" t="s">
        <v>20</v>
      </c>
      <c r="AN2" s="306" t="s">
        <v>20</v>
      </c>
      <c r="AO2" s="306" t="s">
        <v>20</v>
      </c>
      <c r="AP2" s="306" t="s">
        <v>20</v>
      </c>
      <c r="AQ2" s="306" t="s">
        <v>20</v>
      </c>
      <c r="AR2" s="306" t="s">
        <v>20</v>
      </c>
      <c r="AS2" s="306" t="s">
        <v>20</v>
      </c>
      <c r="AT2" s="306" t="s">
        <v>411</v>
      </c>
      <c r="AU2" s="306" t="s">
        <v>20</v>
      </c>
      <c r="AV2" s="306">
        <v>10</v>
      </c>
      <c r="AW2" s="306" t="s">
        <v>531</v>
      </c>
      <c r="AX2" s="306" t="s">
        <v>532</v>
      </c>
      <c r="AY2" s="306"/>
    </row>
    <row r="3" spans="1:51" x14ac:dyDescent="0.3">
      <c r="A3" s="306">
        <v>2</v>
      </c>
      <c r="B3" s="306" t="s">
        <v>533</v>
      </c>
      <c r="C3" s="306" t="s">
        <v>530</v>
      </c>
      <c r="D3" s="306" t="s">
        <v>552</v>
      </c>
      <c r="E3" s="306" t="s">
        <v>557</v>
      </c>
      <c r="F3" s="306" t="s">
        <v>601</v>
      </c>
      <c r="G3" s="306">
        <v>16</v>
      </c>
      <c r="H3" s="306" t="s">
        <v>525</v>
      </c>
      <c r="I3" s="306" t="s">
        <v>20</v>
      </c>
      <c r="J3" s="306" t="s">
        <v>20</v>
      </c>
      <c r="K3" s="306" t="s">
        <v>20</v>
      </c>
      <c r="L3" s="306" t="s">
        <v>20</v>
      </c>
      <c r="M3" s="306" t="s">
        <v>534</v>
      </c>
      <c r="N3" s="306" t="s">
        <v>20</v>
      </c>
      <c r="O3" s="306" t="s">
        <v>20</v>
      </c>
      <c r="P3" s="306" t="s">
        <v>602</v>
      </c>
      <c r="Q3" s="306" t="s">
        <v>20</v>
      </c>
      <c r="R3" s="306" t="s">
        <v>603</v>
      </c>
      <c r="S3" s="306" t="s">
        <v>20</v>
      </c>
      <c r="T3" s="306" t="s">
        <v>605</v>
      </c>
      <c r="U3" s="306" t="s">
        <v>20</v>
      </c>
      <c r="V3" s="306" t="s">
        <v>20</v>
      </c>
      <c r="W3" s="306" t="s">
        <v>20</v>
      </c>
      <c r="X3" s="306"/>
      <c r="Y3" s="306" t="s">
        <v>20</v>
      </c>
      <c r="Z3" s="306" t="s">
        <v>20</v>
      </c>
      <c r="AA3" s="306" t="s">
        <v>20</v>
      </c>
      <c r="AB3" s="306" t="s">
        <v>20</v>
      </c>
      <c r="AC3" s="306" t="s">
        <v>20</v>
      </c>
      <c r="AD3" s="306" t="s">
        <v>20</v>
      </c>
      <c r="AE3" s="306" t="s">
        <v>20</v>
      </c>
      <c r="AF3" s="306" t="s">
        <v>20</v>
      </c>
      <c r="AG3" s="306" t="s">
        <v>411</v>
      </c>
      <c r="AH3" s="306" t="s">
        <v>411</v>
      </c>
      <c r="AI3" s="306" t="s">
        <v>20</v>
      </c>
      <c r="AJ3" s="306" t="s">
        <v>20</v>
      </c>
      <c r="AK3" s="306" t="s">
        <v>20</v>
      </c>
      <c r="AL3" s="306" t="s">
        <v>20</v>
      </c>
      <c r="AM3" s="306" t="s">
        <v>20</v>
      </c>
      <c r="AN3" s="306" t="s">
        <v>20</v>
      </c>
      <c r="AO3" s="306" t="s">
        <v>20</v>
      </c>
      <c r="AP3" s="306" t="s">
        <v>20</v>
      </c>
      <c r="AQ3" s="306" t="s">
        <v>20</v>
      </c>
      <c r="AR3" s="306" t="s">
        <v>20</v>
      </c>
      <c r="AS3" s="306" t="s">
        <v>20</v>
      </c>
      <c r="AT3" s="306" t="s">
        <v>20</v>
      </c>
      <c r="AU3" s="306" t="s">
        <v>20</v>
      </c>
      <c r="AV3" s="306">
        <v>10</v>
      </c>
      <c r="AW3" s="306" t="s">
        <v>535</v>
      </c>
      <c r="AX3" s="306" t="s">
        <v>536</v>
      </c>
    </row>
    <row r="4" spans="1:51" x14ac:dyDescent="0.3">
      <c r="A4" s="306">
        <v>3</v>
      </c>
      <c r="B4" s="306" t="s">
        <v>537</v>
      </c>
      <c r="C4" s="306" t="s">
        <v>530</v>
      </c>
      <c r="D4" s="306" t="s">
        <v>510</v>
      </c>
      <c r="E4" s="306" t="s">
        <v>561</v>
      </c>
      <c r="F4" s="306" t="s">
        <v>606</v>
      </c>
      <c r="G4" s="306">
        <v>16</v>
      </c>
      <c r="H4" s="306" t="s">
        <v>525</v>
      </c>
      <c r="I4" s="306" t="s">
        <v>20</v>
      </c>
      <c r="J4" s="306" t="s">
        <v>20</v>
      </c>
      <c r="K4" s="306" t="s">
        <v>20</v>
      </c>
      <c r="L4" s="306" t="s">
        <v>20</v>
      </c>
      <c r="M4" s="306" t="s">
        <v>534</v>
      </c>
      <c r="N4" s="306" t="s">
        <v>20</v>
      </c>
      <c r="O4" s="306" t="s">
        <v>20</v>
      </c>
      <c r="P4" s="306" t="s">
        <v>584</v>
      </c>
      <c r="Q4" s="306" t="s">
        <v>20</v>
      </c>
      <c r="R4" s="306" t="s">
        <v>607</v>
      </c>
      <c r="S4" s="306" t="s">
        <v>20</v>
      </c>
      <c r="T4" s="306" t="s">
        <v>617</v>
      </c>
      <c r="U4" s="306" t="s">
        <v>20</v>
      </c>
      <c r="V4" s="306" t="s">
        <v>20</v>
      </c>
      <c r="W4" s="306" t="s">
        <v>20</v>
      </c>
      <c r="X4" s="306" t="s">
        <v>608</v>
      </c>
      <c r="Y4" s="306" t="s">
        <v>20</v>
      </c>
      <c r="Z4" s="306" t="s">
        <v>20</v>
      </c>
      <c r="AA4" s="306" t="s">
        <v>20</v>
      </c>
      <c r="AB4" s="306" t="s">
        <v>20</v>
      </c>
      <c r="AC4" s="306" t="s">
        <v>20</v>
      </c>
      <c r="AD4" s="306" t="s">
        <v>20</v>
      </c>
      <c r="AE4" s="306" t="s">
        <v>20</v>
      </c>
      <c r="AF4" s="306" t="s">
        <v>20</v>
      </c>
      <c r="AG4" s="306" t="s">
        <v>20</v>
      </c>
      <c r="AH4" s="306" t="s">
        <v>20</v>
      </c>
      <c r="AI4" s="306" t="s">
        <v>20</v>
      </c>
      <c r="AJ4" s="306" t="s">
        <v>20</v>
      </c>
      <c r="AK4" s="306" t="s">
        <v>20</v>
      </c>
      <c r="AL4" s="306" t="s">
        <v>411</v>
      </c>
      <c r="AM4" s="306" t="s">
        <v>411</v>
      </c>
      <c r="AN4" s="306" t="s">
        <v>20</v>
      </c>
      <c r="AO4" s="306" t="s">
        <v>20</v>
      </c>
      <c r="AP4" s="306" t="s">
        <v>20</v>
      </c>
      <c r="AQ4" s="306" t="s">
        <v>20</v>
      </c>
      <c r="AR4" s="306" t="s">
        <v>20</v>
      </c>
      <c r="AS4" s="306" t="s">
        <v>20</v>
      </c>
      <c r="AT4" s="306" t="s">
        <v>20</v>
      </c>
      <c r="AU4" s="306" t="s">
        <v>20</v>
      </c>
      <c r="AV4" s="306">
        <v>10</v>
      </c>
      <c r="AW4" s="306" t="s">
        <v>611</v>
      </c>
      <c r="AX4" s="306" t="s">
        <v>538</v>
      </c>
    </row>
    <row r="5" spans="1:51" x14ac:dyDescent="0.3">
      <c r="A5" s="306">
        <v>4</v>
      </c>
      <c r="B5" s="306" t="s">
        <v>539</v>
      </c>
      <c r="C5" s="306" t="s">
        <v>530</v>
      </c>
      <c r="D5" s="306" t="s">
        <v>517</v>
      </c>
      <c r="E5" s="310">
        <v>0.7909722222222223</v>
      </c>
      <c r="F5" s="310">
        <v>0.80625000000000002</v>
      </c>
      <c r="G5" s="306">
        <v>22</v>
      </c>
      <c r="H5" s="306" t="s">
        <v>525</v>
      </c>
      <c r="I5" s="306" t="s">
        <v>20</v>
      </c>
      <c r="J5" s="306" t="s">
        <v>20</v>
      </c>
      <c r="K5" s="306" t="s">
        <v>20</v>
      </c>
      <c r="L5" s="306" t="s">
        <v>20</v>
      </c>
      <c r="M5" s="306" t="s">
        <v>540</v>
      </c>
      <c r="N5" s="306" t="s">
        <v>411</v>
      </c>
      <c r="O5" s="306" t="s">
        <v>411</v>
      </c>
      <c r="P5" s="306" t="s">
        <v>610</v>
      </c>
      <c r="Q5" s="306" t="s">
        <v>20</v>
      </c>
      <c r="R5" s="306" t="s">
        <v>607</v>
      </c>
      <c r="S5" s="306" t="s">
        <v>20</v>
      </c>
      <c r="T5" s="306" t="s">
        <v>618</v>
      </c>
      <c r="U5" s="306" t="s">
        <v>20</v>
      </c>
      <c r="V5" s="306" t="s">
        <v>20</v>
      </c>
      <c r="W5" s="306" t="s">
        <v>20</v>
      </c>
      <c r="X5" s="306" t="s">
        <v>608</v>
      </c>
      <c r="Y5" s="306" t="s">
        <v>20</v>
      </c>
      <c r="Z5" s="306" t="s">
        <v>20</v>
      </c>
      <c r="AA5" s="306" t="s">
        <v>20</v>
      </c>
      <c r="AB5" s="306" t="s">
        <v>20</v>
      </c>
      <c r="AC5" s="306" t="s">
        <v>20</v>
      </c>
      <c r="AD5" s="306" t="s">
        <v>20</v>
      </c>
      <c r="AE5" s="306" t="s">
        <v>411</v>
      </c>
      <c r="AF5" s="306" t="s">
        <v>20</v>
      </c>
      <c r="AG5" s="306" t="s">
        <v>411</v>
      </c>
      <c r="AH5" s="306" t="s">
        <v>411</v>
      </c>
      <c r="AI5" s="306" t="s">
        <v>20</v>
      </c>
      <c r="AJ5" s="306" t="s">
        <v>20</v>
      </c>
      <c r="AK5" s="306" t="s">
        <v>20</v>
      </c>
      <c r="AL5" s="306" t="s">
        <v>411</v>
      </c>
      <c r="AM5" s="306" t="s">
        <v>411</v>
      </c>
      <c r="AN5" s="306" t="s">
        <v>20</v>
      </c>
      <c r="AO5" s="306" t="s">
        <v>20</v>
      </c>
      <c r="AP5" s="306" t="s">
        <v>20</v>
      </c>
      <c r="AQ5" s="306" t="s">
        <v>20</v>
      </c>
      <c r="AR5" s="306" t="s">
        <v>20</v>
      </c>
      <c r="AS5" s="306" t="s">
        <v>20</v>
      </c>
      <c r="AT5" s="306" t="s">
        <v>20</v>
      </c>
      <c r="AU5" s="306" t="s">
        <v>20</v>
      </c>
      <c r="AV5" s="306">
        <v>10</v>
      </c>
      <c r="AW5" s="306" t="s">
        <v>612</v>
      </c>
      <c r="AX5" s="306" t="s">
        <v>541</v>
      </c>
    </row>
    <row r="6" spans="1:51" x14ac:dyDescent="0.3">
      <c r="A6" s="306">
        <v>5</v>
      </c>
      <c r="B6" s="306" t="s">
        <v>497</v>
      </c>
      <c r="C6" s="306" t="s">
        <v>530</v>
      </c>
      <c r="D6" s="306" t="s">
        <v>553</v>
      </c>
      <c r="E6" s="306" t="s">
        <v>648</v>
      </c>
      <c r="F6" s="306" t="s">
        <v>649</v>
      </c>
      <c r="G6" s="306">
        <v>30</v>
      </c>
      <c r="H6" s="306" t="s">
        <v>525</v>
      </c>
      <c r="I6" s="306" t="s">
        <v>20</v>
      </c>
      <c r="J6" s="306" t="s">
        <v>20</v>
      </c>
      <c r="K6" s="306" t="s">
        <v>20</v>
      </c>
      <c r="L6" s="306" t="s">
        <v>20</v>
      </c>
      <c r="M6" s="306" t="s">
        <v>501</v>
      </c>
      <c r="N6" s="306" t="s">
        <v>20</v>
      </c>
      <c r="O6" s="306" t="s">
        <v>20</v>
      </c>
      <c r="P6" s="306" t="s">
        <v>584</v>
      </c>
      <c r="Q6" s="306" t="s">
        <v>20</v>
      </c>
      <c r="R6" s="306" t="s">
        <v>652</v>
      </c>
      <c r="S6" s="306" t="s">
        <v>20</v>
      </c>
      <c r="T6" s="306" t="s">
        <v>653</v>
      </c>
      <c r="U6" s="306" t="s">
        <v>20</v>
      </c>
      <c r="V6" s="306" t="s">
        <v>20</v>
      </c>
      <c r="W6" s="306" t="s">
        <v>20</v>
      </c>
      <c r="X6" s="306" t="s">
        <v>655</v>
      </c>
      <c r="Y6" s="306" t="s">
        <v>20</v>
      </c>
      <c r="Z6" s="306" t="s">
        <v>20</v>
      </c>
      <c r="AA6" s="306" t="s">
        <v>20</v>
      </c>
      <c r="AB6" s="306" t="s">
        <v>20</v>
      </c>
      <c r="AC6" s="306" t="s">
        <v>20</v>
      </c>
      <c r="AD6" s="306" t="s">
        <v>20</v>
      </c>
      <c r="AE6" s="306" t="s">
        <v>20</v>
      </c>
      <c r="AF6" s="306" t="s">
        <v>20</v>
      </c>
      <c r="AG6" s="306" t="s">
        <v>20</v>
      </c>
      <c r="AH6" s="306" t="s">
        <v>20</v>
      </c>
      <c r="AI6" s="306" t="s">
        <v>20</v>
      </c>
      <c r="AJ6" s="306" t="s">
        <v>20</v>
      </c>
      <c r="AK6" s="306" t="s">
        <v>20</v>
      </c>
      <c r="AL6" s="306" t="s">
        <v>20</v>
      </c>
      <c r="AM6" s="306" t="s">
        <v>20</v>
      </c>
      <c r="AN6" s="306" t="s">
        <v>20</v>
      </c>
      <c r="AO6" s="306" t="s">
        <v>20</v>
      </c>
      <c r="AP6" s="306" t="s">
        <v>20</v>
      </c>
      <c r="AQ6" s="306" t="s">
        <v>20</v>
      </c>
      <c r="AR6" s="306" t="s">
        <v>20</v>
      </c>
      <c r="AS6" s="306" t="s">
        <v>20</v>
      </c>
      <c r="AT6" s="306" t="s">
        <v>20</v>
      </c>
      <c r="AU6" s="306" t="s">
        <v>20</v>
      </c>
      <c r="AV6" s="306">
        <v>10</v>
      </c>
      <c r="AW6" s="306" t="s">
        <v>650</v>
      </c>
      <c r="AX6" s="306" t="s">
        <v>651</v>
      </c>
      <c r="AY6" s="306"/>
    </row>
    <row r="7" spans="1:51" x14ac:dyDescent="0.3">
      <c r="A7" s="306">
        <v>6</v>
      </c>
      <c r="B7" s="306" t="s">
        <v>523</v>
      </c>
      <c r="C7" s="306" t="s">
        <v>662</v>
      </c>
      <c r="D7" s="306" t="s">
        <v>657</v>
      </c>
      <c r="E7" s="306" t="s">
        <v>846</v>
      </c>
      <c r="F7" s="306" t="s">
        <v>847</v>
      </c>
      <c r="G7" s="306">
        <v>2</v>
      </c>
      <c r="H7" s="306" t="s">
        <v>525</v>
      </c>
      <c r="I7" s="306" t="s">
        <v>20</v>
      </c>
      <c r="J7" s="306" t="s">
        <v>20</v>
      </c>
      <c r="K7" s="306" t="s">
        <v>20</v>
      </c>
      <c r="L7" s="306" t="s">
        <v>20</v>
      </c>
      <c r="M7" s="306" t="s">
        <v>661</v>
      </c>
      <c r="N7" s="306" t="s">
        <v>20</v>
      </c>
      <c r="O7" s="306" t="s">
        <v>20</v>
      </c>
      <c r="P7" s="306" t="s">
        <v>711</v>
      </c>
      <c r="Q7" s="306" t="s">
        <v>20</v>
      </c>
      <c r="R7" s="306" t="s">
        <v>849</v>
      </c>
      <c r="S7" s="306" t="s">
        <v>20</v>
      </c>
      <c r="T7" s="306" t="s">
        <v>850</v>
      </c>
      <c r="U7" s="306" t="s">
        <v>411</v>
      </c>
      <c r="V7" s="306" t="s">
        <v>411</v>
      </c>
      <c r="W7" s="306" t="s">
        <v>20</v>
      </c>
      <c r="X7" s="306" t="s">
        <v>848</v>
      </c>
      <c r="Y7" s="306" t="s">
        <v>411</v>
      </c>
      <c r="Z7" s="306" t="s">
        <v>411</v>
      </c>
      <c r="AA7" s="306" t="s">
        <v>411</v>
      </c>
      <c r="AB7" s="306" t="s">
        <v>411</v>
      </c>
      <c r="AC7" s="306" t="s">
        <v>411</v>
      </c>
      <c r="AD7" s="306" t="s">
        <v>411</v>
      </c>
      <c r="AE7" s="306" t="s">
        <v>411</v>
      </c>
      <c r="AF7" s="306" t="s">
        <v>411</v>
      </c>
      <c r="AG7" s="306" t="s">
        <v>20</v>
      </c>
      <c r="AH7" s="306" t="s">
        <v>20</v>
      </c>
      <c r="AI7" s="306" t="s">
        <v>20</v>
      </c>
      <c r="AJ7" s="306" t="s">
        <v>411</v>
      </c>
      <c r="AK7" s="306" t="s">
        <v>411</v>
      </c>
      <c r="AL7" s="306" t="s">
        <v>411</v>
      </c>
      <c r="AM7" s="306" t="s">
        <v>411</v>
      </c>
      <c r="AN7" s="306" t="s">
        <v>20</v>
      </c>
      <c r="AO7" s="306" t="s">
        <v>20</v>
      </c>
      <c r="AP7" s="306" t="s">
        <v>20</v>
      </c>
      <c r="AQ7" s="306" t="s">
        <v>20</v>
      </c>
      <c r="AR7" s="306" t="s">
        <v>20</v>
      </c>
      <c r="AS7" s="306" t="s">
        <v>20</v>
      </c>
      <c r="AT7" s="306" t="s">
        <v>20</v>
      </c>
      <c r="AU7" s="306" t="s">
        <v>20</v>
      </c>
      <c r="AV7" s="306">
        <v>9</v>
      </c>
      <c r="AW7" s="306" t="s">
        <v>707</v>
      </c>
      <c r="AX7" s="306" t="s">
        <v>708</v>
      </c>
    </row>
    <row r="8" spans="1:51" x14ac:dyDescent="0.3">
      <c r="A8" s="306">
        <v>7</v>
      </c>
      <c r="B8" s="306" t="s">
        <v>520</v>
      </c>
      <c r="C8" s="306" t="s">
        <v>659</v>
      </c>
      <c r="D8" s="306" t="s">
        <v>657</v>
      </c>
      <c r="E8" s="306" t="s">
        <v>838</v>
      </c>
      <c r="F8" s="306" t="s">
        <v>851</v>
      </c>
      <c r="G8" s="306">
        <v>18</v>
      </c>
      <c r="H8" s="306" t="s">
        <v>525</v>
      </c>
      <c r="I8" s="306" t="s">
        <v>20</v>
      </c>
      <c r="J8" s="306" t="s">
        <v>20</v>
      </c>
      <c r="K8" s="306" t="s">
        <v>20</v>
      </c>
      <c r="L8" s="306" t="s">
        <v>20</v>
      </c>
      <c r="M8" s="306" t="s">
        <v>709</v>
      </c>
      <c r="N8" s="306" t="s">
        <v>20</v>
      </c>
      <c r="O8" s="306" t="s">
        <v>20</v>
      </c>
      <c r="P8" s="306" t="s">
        <v>710</v>
      </c>
      <c r="Q8" s="306" t="s">
        <v>20</v>
      </c>
      <c r="R8" s="306" t="s">
        <v>603</v>
      </c>
      <c r="S8" s="306" t="s">
        <v>411</v>
      </c>
      <c r="T8" s="306" t="s">
        <v>853</v>
      </c>
      <c r="U8" s="306" t="s">
        <v>20</v>
      </c>
      <c r="V8" s="306" t="s">
        <v>20</v>
      </c>
      <c r="W8" s="306" t="s">
        <v>20</v>
      </c>
      <c r="X8" s="306" t="s">
        <v>655</v>
      </c>
      <c r="Y8" s="306" t="s">
        <v>20</v>
      </c>
      <c r="Z8" s="306" t="s">
        <v>20</v>
      </c>
      <c r="AA8" s="306" t="s">
        <v>20</v>
      </c>
      <c r="AB8" s="306" t="s">
        <v>411</v>
      </c>
      <c r="AC8" s="306" t="s">
        <v>20</v>
      </c>
      <c r="AD8" s="306" t="s">
        <v>20</v>
      </c>
      <c r="AE8" s="306" t="s">
        <v>20</v>
      </c>
      <c r="AF8" s="306" t="s">
        <v>20</v>
      </c>
      <c r="AG8" s="306" t="s">
        <v>20</v>
      </c>
      <c r="AH8" s="306" t="s">
        <v>20</v>
      </c>
      <c r="AI8" s="306" t="s">
        <v>20</v>
      </c>
      <c r="AJ8" s="306" t="s">
        <v>20</v>
      </c>
      <c r="AK8" s="306" t="s">
        <v>20</v>
      </c>
      <c r="AL8" s="306" t="s">
        <v>20</v>
      </c>
      <c r="AM8" s="306" t="s">
        <v>20</v>
      </c>
      <c r="AN8" s="306" t="s">
        <v>411</v>
      </c>
      <c r="AO8" s="306" t="s">
        <v>20</v>
      </c>
      <c r="AP8" s="306" t="s">
        <v>20</v>
      </c>
      <c r="AQ8" s="306" t="s">
        <v>20</v>
      </c>
      <c r="AR8" s="306" t="s">
        <v>20</v>
      </c>
      <c r="AS8" s="306" t="s">
        <v>20</v>
      </c>
      <c r="AT8" s="306" t="s">
        <v>20</v>
      </c>
      <c r="AU8" s="306" t="s">
        <v>20</v>
      </c>
      <c r="AV8" s="306">
        <v>7</v>
      </c>
      <c r="AW8" s="306" t="s">
        <v>714</v>
      </c>
      <c r="AX8" s="306" t="s">
        <v>715</v>
      </c>
    </row>
    <row r="9" spans="1:51" ht="16.5" customHeight="1" thickBot="1" x14ac:dyDescent="0.35">
      <c r="A9" s="306">
        <v>8</v>
      </c>
      <c r="B9" s="306" t="s">
        <v>504</v>
      </c>
      <c r="C9" s="306" t="s">
        <v>662</v>
      </c>
      <c r="D9" s="306" t="s">
        <v>657</v>
      </c>
      <c r="E9" s="306" t="s">
        <v>854</v>
      </c>
      <c r="F9" s="306" t="s">
        <v>855</v>
      </c>
      <c r="G9" s="306">
        <v>8</v>
      </c>
      <c r="H9" s="306" t="s">
        <v>525</v>
      </c>
      <c r="I9" s="306" t="s">
        <v>20</v>
      </c>
      <c r="J9" s="306" t="s">
        <v>20</v>
      </c>
      <c r="K9" s="306" t="s">
        <v>20</v>
      </c>
      <c r="L9" s="306" t="s">
        <v>20</v>
      </c>
      <c r="M9" s="306" t="s">
        <v>534</v>
      </c>
      <c r="N9" s="306" t="s">
        <v>20</v>
      </c>
      <c r="O9" s="306" t="s">
        <v>20</v>
      </c>
      <c r="P9" s="306" t="s">
        <v>584</v>
      </c>
      <c r="Q9" s="306" t="s">
        <v>20</v>
      </c>
      <c r="R9" s="306" t="s">
        <v>849</v>
      </c>
      <c r="S9" s="306" t="s">
        <v>411</v>
      </c>
      <c r="T9" s="306" t="s">
        <v>853</v>
      </c>
      <c r="U9" s="306" t="s">
        <v>411</v>
      </c>
      <c r="V9" s="306" t="s">
        <v>411</v>
      </c>
      <c r="W9" s="306" t="s">
        <v>411</v>
      </c>
      <c r="X9" s="306" t="s">
        <v>860</v>
      </c>
      <c r="Y9" s="306" t="s">
        <v>411</v>
      </c>
      <c r="Z9" s="306" t="s">
        <v>411</v>
      </c>
      <c r="AA9" s="306" t="s">
        <v>411</v>
      </c>
      <c r="AB9" s="306" t="s">
        <v>411</v>
      </c>
      <c r="AC9" s="306" t="s">
        <v>411</v>
      </c>
      <c r="AD9" s="306" t="s">
        <v>411</v>
      </c>
      <c r="AE9" s="306" t="s">
        <v>411</v>
      </c>
      <c r="AF9" s="306" t="s">
        <v>411</v>
      </c>
      <c r="AG9" s="306" t="s">
        <v>20</v>
      </c>
      <c r="AH9" s="306" t="s">
        <v>20</v>
      </c>
      <c r="AI9" s="306" t="s">
        <v>20</v>
      </c>
      <c r="AJ9" s="306" t="s">
        <v>411</v>
      </c>
      <c r="AK9" s="306" t="s">
        <v>411</v>
      </c>
      <c r="AL9" s="306" t="s">
        <v>411</v>
      </c>
      <c r="AM9" s="306" t="s">
        <v>411</v>
      </c>
      <c r="AN9" s="306" t="s">
        <v>411</v>
      </c>
      <c r="AO9" s="306" t="s">
        <v>20</v>
      </c>
      <c r="AP9" s="306" t="s">
        <v>20</v>
      </c>
      <c r="AQ9" s="306" t="s">
        <v>411</v>
      </c>
      <c r="AR9" s="306" t="s">
        <v>411</v>
      </c>
      <c r="AS9" s="306" t="s">
        <v>411</v>
      </c>
      <c r="AT9" s="306" t="s">
        <v>411</v>
      </c>
      <c r="AU9" s="306" t="s">
        <v>411</v>
      </c>
      <c r="AV9" s="306">
        <v>7</v>
      </c>
      <c r="AW9" s="306" t="s">
        <v>712</v>
      </c>
      <c r="AX9" s="306" t="s">
        <v>713</v>
      </c>
    </row>
    <row r="10" spans="1:51" ht="15" thickBot="1" x14ac:dyDescent="0.35">
      <c r="A10" s="306">
        <v>9</v>
      </c>
      <c r="B10" t="s">
        <v>670</v>
      </c>
      <c r="C10" t="s">
        <v>530</v>
      </c>
      <c r="D10" t="s">
        <v>667</v>
      </c>
      <c r="E10" s="306" t="s">
        <v>861</v>
      </c>
      <c r="F10" s="306" t="s">
        <v>862</v>
      </c>
      <c r="G10" s="306">
        <v>10</v>
      </c>
      <c r="H10" t="s">
        <v>525</v>
      </c>
      <c r="I10" t="s">
        <v>20</v>
      </c>
      <c r="J10" t="s">
        <v>20</v>
      </c>
      <c r="K10" t="s">
        <v>20</v>
      </c>
      <c r="L10" t="s">
        <v>20</v>
      </c>
      <c r="M10" s="306" t="s">
        <v>717</v>
      </c>
      <c r="N10" t="s">
        <v>20</v>
      </c>
      <c r="O10" t="s">
        <v>20</v>
      </c>
      <c r="P10" s="306" t="s">
        <v>584</v>
      </c>
      <c r="Q10" t="s">
        <v>20</v>
      </c>
      <c r="R10" s="306" t="s">
        <v>863</v>
      </c>
      <c r="S10" t="s">
        <v>20</v>
      </c>
      <c r="T10" s="306" t="s">
        <v>864</v>
      </c>
      <c r="U10" t="s">
        <v>20</v>
      </c>
      <c r="V10" t="s">
        <v>20</v>
      </c>
      <c r="W10" t="s">
        <v>20</v>
      </c>
      <c r="X10" s="306" t="s">
        <v>865</v>
      </c>
      <c r="Y10" t="s">
        <v>20</v>
      </c>
      <c r="Z10" t="s">
        <v>411</v>
      </c>
      <c r="AA10" t="s">
        <v>20</v>
      </c>
      <c r="AB10" t="s">
        <v>20</v>
      </c>
      <c r="AC10" t="s">
        <v>20</v>
      </c>
      <c r="AD10" t="s">
        <v>20</v>
      </c>
      <c r="AE10" t="s">
        <v>411</v>
      </c>
      <c r="AF10" t="s">
        <v>20</v>
      </c>
      <c r="AG10" t="s">
        <v>20</v>
      </c>
      <c r="AH10" t="s">
        <v>411</v>
      </c>
      <c r="AI10" t="s">
        <v>20</v>
      </c>
      <c r="AJ10" t="s">
        <v>20</v>
      </c>
      <c r="AK10" t="s">
        <v>20</v>
      </c>
      <c r="AL10" t="s">
        <v>411</v>
      </c>
      <c r="AM10" t="s">
        <v>411</v>
      </c>
      <c r="AN10" t="s">
        <v>20</v>
      </c>
      <c r="AO10" t="s">
        <v>20</v>
      </c>
      <c r="AP10" t="s">
        <v>20</v>
      </c>
      <c r="AQ10" t="s">
        <v>20</v>
      </c>
      <c r="AR10" t="s">
        <v>20</v>
      </c>
      <c r="AS10" t="s">
        <v>20</v>
      </c>
      <c r="AT10" t="s">
        <v>20</v>
      </c>
      <c r="AU10" t="s">
        <v>20</v>
      </c>
      <c r="AV10" s="306">
        <v>10</v>
      </c>
      <c r="AW10" t="s">
        <v>716</v>
      </c>
      <c r="AX10" t="s">
        <v>532</v>
      </c>
      <c r="AY10" s="311"/>
    </row>
    <row r="11" spans="1:51" x14ac:dyDescent="0.3">
      <c r="A11" s="306">
        <v>10</v>
      </c>
      <c r="B11" s="306" t="s">
        <v>677</v>
      </c>
      <c r="C11" s="306" t="s">
        <v>679</v>
      </c>
      <c r="D11" s="306" t="s">
        <v>674</v>
      </c>
      <c r="E11" s="306" t="s">
        <v>866</v>
      </c>
      <c r="F11" s="306" t="s">
        <v>811</v>
      </c>
      <c r="G11" s="306">
        <v>22</v>
      </c>
      <c r="H11" s="306" t="s">
        <v>525</v>
      </c>
      <c r="I11" s="306" t="s">
        <v>20</v>
      </c>
      <c r="J11" s="306" t="s">
        <v>20</v>
      </c>
      <c r="K11" s="306" t="s">
        <v>20</v>
      </c>
      <c r="L11" s="306" t="s">
        <v>20</v>
      </c>
      <c r="M11" s="306" t="s">
        <v>719</v>
      </c>
      <c r="N11" s="306" t="s">
        <v>20</v>
      </c>
      <c r="O11" s="306" t="s">
        <v>20</v>
      </c>
      <c r="P11" s="306" t="s">
        <v>560</v>
      </c>
      <c r="Q11" s="306" t="s">
        <v>20</v>
      </c>
      <c r="R11" s="306" t="s">
        <v>867</v>
      </c>
      <c r="S11" s="306" t="s">
        <v>20</v>
      </c>
      <c r="T11" s="306" t="s">
        <v>605</v>
      </c>
      <c r="U11" s="306" t="s">
        <v>20</v>
      </c>
      <c r="V11" s="306" t="s">
        <v>20</v>
      </c>
      <c r="W11" s="306" t="s">
        <v>20</v>
      </c>
      <c r="X11" s="306" t="s">
        <v>868</v>
      </c>
      <c r="Y11" s="306" t="s">
        <v>20</v>
      </c>
      <c r="Z11" s="306" t="s">
        <v>20</v>
      </c>
      <c r="AA11" s="306" t="s">
        <v>20</v>
      </c>
      <c r="AB11" s="306" t="s">
        <v>20</v>
      </c>
      <c r="AC11" s="306" t="s">
        <v>20</v>
      </c>
      <c r="AD11" s="306" t="s">
        <v>20</v>
      </c>
      <c r="AE11" s="306" t="s">
        <v>20</v>
      </c>
      <c r="AF11" s="306" t="s">
        <v>20</v>
      </c>
      <c r="AG11" s="306" t="s">
        <v>20</v>
      </c>
      <c r="AH11" s="306" t="s">
        <v>20</v>
      </c>
      <c r="AI11" s="306" t="s">
        <v>20</v>
      </c>
      <c r="AJ11" s="306" t="s">
        <v>20</v>
      </c>
      <c r="AK11" s="306" t="s">
        <v>20</v>
      </c>
      <c r="AL11" s="306" t="s">
        <v>20</v>
      </c>
      <c r="AM11" s="306" t="s">
        <v>20</v>
      </c>
      <c r="AN11" s="306" t="s">
        <v>20</v>
      </c>
      <c r="AO11" s="306" t="s">
        <v>20</v>
      </c>
      <c r="AP11" s="306" t="s">
        <v>20</v>
      </c>
      <c r="AQ11" s="306" t="s">
        <v>20</v>
      </c>
      <c r="AR11" s="306" t="s">
        <v>20</v>
      </c>
      <c r="AS11" s="306" t="s">
        <v>20</v>
      </c>
      <c r="AT11" s="306" t="s">
        <v>20</v>
      </c>
      <c r="AU11" s="306" t="s">
        <v>20</v>
      </c>
      <c r="AV11" s="306">
        <v>10</v>
      </c>
      <c r="AW11" s="306" t="s">
        <v>718</v>
      </c>
      <c r="AX11" s="306"/>
    </row>
    <row r="12" spans="1:51" x14ac:dyDescent="0.3">
      <c r="A12" s="306">
        <v>11</v>
      </c>
      <c r="B12" s="306" t="s">
        <v>664</v>
      </c>
      <c r="C12" s="306" t="s">
        <v>683</v>
      </c>
      <c r="D12" s="306" t="s">
        <v>681</v>
      </c>
      <c r="E12" s="306" t="s">
        <v>869</v>
      </c>
      <c r="F12" s="306" t="s">
        <v>870</v>
      </c>
      <c r="G12" s="306">
        <v>6</v>
      </c>
      <c r="H12" s="306" t="s">
        <v>525</v>
      </c>
      <c r="I12" s="306" t="s">
        <v>20</v>
      </c>
      <c r="J12" s="306" t="s">
        <v>20</v>
      </c>
      <c r="K12" s="306" t="s">
        <v>20</v>
      </c>
      <c r="L12" s="306" t="s">
        <v>20</v>
      </c>
      <c r="M12" s="306" t="s">
        <v>660</v>
      </c>
      <c r="N12" s="306" t="s">
        <v>20</v>
      </c>
      <c r="O12" s="306" t="s">
        <v>411</v>
      </c>
      <c r="P12" s="306" t="s">
        <v>845</v>
      </c>
      <c r="Q12" s="306" t="s">
        <v>411</v>
      </c>
      <c r="R12" s="306" t="s">
        <v>873</v>
      </c>
      <c r="S12" s="306" t="s">
        <v>411</v>
      </c>
      <c r="T12" s="306" t="s">
        <v>853</v>
      </c>
      <c r="U12" s="306" t="s">
        <v>20</v>
      </c>
      <c r="V12" s="306" t="s">
        <v>20</v>
      </c>
      <c r="W12" s="306" t="s">
        <v>20</v>
      </c>
      <c r="X12" s="306" t="s">
        <v>874</v>
      </c>
      <c r="Y12" s="306" t="s">
        <v>411</v>
      </c>
      <c r="Z12" s="306" t="s">
        <v>411</v>
      </c>
      <c r="AA12" s="306" t="s">
        <v>411</v>
      </c>
      <c r="AB12" s="306" t="s">
        <v>411</v>
      </c>
      <c r="AC12" s="306" t="s">
        <v>411</v>
      </c>
      <c r="AD12" s="306" t="s">
        <v>411</v>
      </c>
      <c r="AE12" s="306" t="s">
        <v>411</v>
      </c>
      <c r="AF12" s="306" t="s">
        <v>411</v>
      </c>
      <c r="AG12" s="306" t="s">
        <v>411</v>
      </c>
      <c r="AH12" s="306" t="s">
        <v>411</v>
      </c>
      <c r="AI12" s="306" t="s">
        <v>411</v>
      </c>
      <c r="AJ12" s="306" t="s">
        <v>411</v>
      </c>
      <c r="AK12" s="306" t="s">
        <v>411</v>
      </c>
      <c r="AL12" s="306" t="s">
        <v>411</v>
      </c>
      <c r="AM12" s="306" t="s">
        <v>411</v>
      </c>
      <c r="AN12" s="306" t="s">
        <v>411</v>
      </c>
      <c r="AO12" s="306" t="s">
        <v>411</v>
      </c>
      <c r="AP12" s="306" t="s">
        <v>411</v>
      </c>
      <c r="AQ12" s="306" t="s">
        <v>411</v>
      </c>
      <c r="AR12" s="306" t="s">
        <v>411</v>
      </c>
      <c r="AS12" s="306" t="s">
        <v>411</v>
      </c>
      <c r="AT12" s="306" t="s">
        <v>411</v>
      </c>
      <c r="AU12" s="306" t="s">
        <v>20</v>
      </c>
      <c r="AV12" s="306">
        <v>6</v>
      </c>
      <c r="AW12" s="306" t="s">
        <v>720</v>
      </c>
      <c r="AX12" s="306" t="s">
        <v>721</v>
      </c>
      <c r="AY12" s="306"/>
    </row>
    <row r="13" spans="1:51" x14ac:dyDescent="0.3">
      <c r="A13" s="306">
        <v>12</v>
      </c>
      <c r="B13" s="306" t="s">
        <v>512</v>
      </c>
      <c r="C13" s="306" t="s">
        <v>723</v>
      </c>
      <c r="D13" t="s">
        <v>722</v>
      </c>
      <c r="G13" s="306">
        <v>14</v>
      </c>
      <c r="H13" s="306" t="s">
        <v>525</v>
      </c>
      <c r="I13" s="306" t="s">
        <v>20</v>
      </c>
      <c r="J13" s="306" t="s">
        <v>20</v>
      </c>
      <c r="K13" s="306" t="s">
        <v>20</v>
      </c>
      <c r="L13" s="306" t="s">
        <v>411</v>
      </c>
      <c r="M13" s="306" t="s">
        <v>724</v>
      </c>
      <c r="N13" s="306" t="s">
        <v>20</v>
      </c>
      <c r="O13" s="306" t="s">
        <v>20</v>
      </c>
      <c r="P13" s="306" t="s">
        <v>711</v>
      </c>
      <c r="Q13" s="306" t="s">
        <v>20</v>
      </c>
      <c r="R13" s="306" t="s">
        <v>877</v>
      </c>
      <c r="S13" s="306" t="s">
        <v>20</v>
      </c>
      <c r="T13" s="306" t="s">
        <v>875</v>
      </c>
      <c r="U13" s="306" t="s">
        <v>411</v>
      </c>
      <c r="V13" s="306" t="s">
        <v>20</v>
      </c>
      <c r="W13" s="306" t="s">
        <v>20</v>
      </c>
      <c r="X13" s="306" t="s">
        <v>876</v>
      </c>
      <c r="Y13" s="306" t="s">
        <v>20</v>
      </c>
      <c r="Z13" s="306" t="s">
        <v>20</v>
      </c>
      <c r="AA13" s="306" t="s">
        <v>411</v>
      </c>
      <c r="AB13" s="306" t="s">
        <v>411</v>
      </c>
      <c r="AC13" s="306" t="s">
        <v>20</v>
      </c>
      <c r="AD13" s="306" t="s">
        <v>411</v>
      </c>
      <c r="AE13" s="306" t="s">
        <v>411</v>
      </c>
      <c r="AF13" s="306" t="s">
        <v>411</v>
      </c>
      <c r="AG13" s="306" t="s">
        <v>20</v>
      </c>
      <c r="AH13" s="306" t="s">
        <v>411</v>
      </c>
      <c r="AI13" s="306" t="s">
        <v>411</v>
      </c>
      <c r="AJ13" s="306" t="s">
        <v>20</v>
      </c>
      <c r="AK13" s="306" t="s">
        <v>20</v>
      </c>
      <c r="AL13" s="306" t="s">
        <v>20</v>
      </c>
      <c r="AM13" s="306" t="s">
        <v>411</v>
      </c>
      <c r="AN13" s="306" t="s">
        <v>20</v>
      </c>
      <c r="AO13" s="306" t="s">
        <v>20</v>
      </c>
      <c r="AP13" s="306" t="s">
        <v>20</v>
      </c>
      <c r="AQ13" s="306" t="s">
        <v>20</v>
      </c>
      <c r="AR13" s="306" t="s">
        <v>20</v>
      </c>
      <c r="AS13" s="306" t="s">
        <v>20</v>
      </c>
      <c r="AT13" s="306" t="s">
        <v>411</v>
      </c>
      <c r="AU13" s="306" t="s">
        <v>20</v>
      </c>
      <c r="AV13" s="306">
        <v>7</v>
      </c>
      <c r="AW13" s="306" t="s">
        <v>725</v>
      </c>
      <c r="AX13" s="306" t="s">
        <v>726</v>
      </c>
    </row>
    <row r="14" spans="1:51" x14ac:dyDescent="0.3">
      <c r="A14" s="306">
        <v>13</v>
      </c>
      <c r="B14" s="306" t="s">
        <v>752</v>
      </c>
      <c r="C14" s="306" t="s">
        <v>662</v>
      </c>
      <c r="D14" s="306" t="s">
        <v>657</v>
      </c>
      <c r="E14" s="306" t="s">
        <v>854</v>
      </c>
      <c r="F14" s="306" t="s">
        <v>855</v>
      </c>
      <c r="G14" s="306">
        <v>8</v>
      </c>
      <c r="H14" s="306" t="s">
        <v>525</v>
      </c>
      <c r="I14" s="306" t="s">
        <v>20</v>
      </c>
      <c r="J14" s="306" t="s">
        <v>20</v>
      </c>
      <c r="K14" s="306" t="s">
        <v>20</v>
      </c>
      <c r="L14" s="306" t="s">
        <v>20</v>
      </c>
      <c r="M14" s="306" t="s">
        <v>534</v>
      </c>
      <c r="N14" s="306" t="s">
        <v>20</v>
      </c>
      <c r="O14" s="306" t="s">
        <v>20</v>
      </c>
      <c r="P14" s="306" t="s">
        <v>710</v>
      </c>
      <c r="Q14" s="306" t="s">
        <v>20</v>
      </c>
      <c r="R14" s="306" t="s">
        <v>879</v>
      </c>
      <c r="S14" s="306" t="s">
        <v>20</v>
      </c>
      <c r="T14" s="306" t="s">
        <v>878</v>
      </c>
      <c r="U14" s="306" t="s">
        <v>20</v>
      </c>
      <c r="V14" s="306" t="s">
        <v>411</v>
      </c>
      <c r="W14" s="306" t="s">
        <v>20</v>
      </c>
      <c r="X14" s="306" t="s">
        <v>880</v>
      </c>
      <c r="Y14" s="306" t="s">
        <v>411</v>
      </c>
      <c r="Z14" s="306" t="s">
        <v>411</v>
      </c>
      <c r="AA14" s="306" t="s">
        <v>411</v>
      </c>
      <c r="AB14" s="306" t="s">
        <v>411</v>
      </c>
      <c r="AC14" s="306" t="s">
        <v>411</v>
      </c>
      <c r="AD14" s="306" t="s">
        <v>411</v>
      </c>
      <c r="AE14" s="306" t="s">
        <v>411</v>
      </c>
      <c r="AF14" s="306" t="s">
        <v>411</v>
      </c>
      <c r="AG14" s="306" t="s">
        <v>20</v>
      </c>
      <c r="AH14" s="306" t="s">
        <v>20</v>
      </c>
      <c r="AI14" s="306" t="s">
        <v>20</v>
      </c>
      <c r="AJ14" s="306" t="s">
        <v>411</v>
      </c>
      <c r="AK14" s="306" t="s">
        <v>411</v>
      </c>
      <c r="AL14" s="306" t="s">
        <v>411</v>
      </c>
      <c r="AM14" s="306" t="s">
        <v>411</v>
      </c>
      <c r="AN14" s="306" t="s">
        <v>20</v>
      </c>
      <c r="AO14" s="306" t="s">
        <v>411</v>
      </c>
      <c r="AP14" s="306" t="s">
        <v>20</v>
      </c>
      <c r="AQ14" s="306" t="s">
        <v>20</v>
      </c>
      <c r="AR14" s="306" t="s">
        <v>20</v>
      </c>
      <c r="AS14" s="306" t="s">
        <v>20</v>
      </c>
      <c r="AT14" s="306" t="s">
        <v>411</v>
      </c>
      <c r="AU14" s="306" t="s">
        <v>411</v>
      </c>
      <c r="AV14" s="306">
        <v>9</v>
      </c>
      <c r="AW14" s="306" t="s">
        <v>871</v>
      </c>
      <c r="AX14" s="306" t="s">
        <v>872</v>
      </c>
    </row>
    <row r="20" spans="7:7" x14ac:dyDescent="0.3">
      <c r="G20">
        <v>8</v>
      </c>
    </row>
  </sheetData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347C3-F06A-4F1C-B5E6-AFB698287218}">
  <sheetPr>
    <tabColor rgb="FFFF99CC"/>
  </sheetPr>
  <dimension ref="A1:AY7"/>
  <sheetViews>
    <sheetView zoomScale="86" zoomScaleNormal="86" workbookViewId="0">
      <selection activeCell="A7" sqref="A7"/>
    </sheetView>
  </sheetViews>
  <sheetFormatPr defaultRowHeight="14.4" x14ac:dyDescent="0.3"/>
  <sheetData>
    <row r="1" spans="1:51" ht="72.75" customHeight="1" x14ac:dyDescent="0.3">
      <c r="A1" s="299" t="s">
        <v>451</v>
      </c>
      <c r="B1" s="299" t="s">
        <v>452</v>
      </c>
      <c r="C1" s="299" t="s">
        <v>453</v>
      </c>
      <c r="D1" s="300" t="s">
        <v>454</v>
      </c>
      <c r="E1" s="301" t="s">
        <v>455</v>
      </c>
      <c r="F1" s="301" t="s">
        <v>456</v>
      </c>
      <c r="G1" s="300" t="s">
        <v>457</v>
      </c>
      <c r="H1" s="300" t="s">
        <v>458</v>
      </c>
      <c r="I1" s="299" t="s">
        <v>459</v>
      </c>
      <c r="J1" s="299" t="s">
        <v>460</v>
      </c>
      <c r="K1" s="299" t="s">
        <v>461</v>
      </c>
      <c r="L1" s="299" t="s">
        <v>462</v>
      </c>
      <c r="M1" s="299" t="s">
        <v>463</v>
      </c>
      <c r="N1" s="299" t="s">
        <v>393</v>
      </c>
      <c r="O1" s="299" t="s">
        <v>464</v>
      </c>
      <c r="P1" s="299" t="s">
        <v>558</v>
      </c>
      <c r="Q1" s="299" t="s">
        <v>548</v>
      </c>
      <c r="R1" s="299" t="s">
        <v>558</v>
      </c>
      <c r="S1" s="300" t="s">
        <v>549</v>
      </c>
      <c r="T1" s="299" t="s">
        <v>558</v>
      </c>
      <c r="U1" s="299" t="s">
        <v>467</v>
      </c>
      <c r="V1" s="299" t="s">
        <v>428</v>
      </c>
      <c r="W1" s="299" t="s">
        <v>468</v>
      </c>
      <c r="X1" s="299" t="s">
        <v>558</v>
      </c>
      <c r="Y1" s="299" t="s">
        <v>469</v>
      </c>
      <c r="Z1" s="299" t="s">
        <v>470</v>
      </c>
      <c r="AA1" s="299" t="s">
        <v>471</v>
      </c>
      <c r="AB1" s="299" t="s">
        <v>472</v>
      </c>
      <c r="AC1" s="299" t="s">
        <v>473</v>
      </c>
      <c r="AD1" s="300" t="s">
        <v>474</v>
      </c>
      <c r="AE1" s="299" t="s">
        <v>475</v>
      </c>
      <c r="AF1" s="300" t="s">
        <v>476</v>
      </c>
      <c r="AG1" s="299" t="s">
        <v>477</v>
      </c>
      <c r="AH1" s="299" t="s">
        <v>478</v>
      </c>
      <c r="AI1" s="299" t="s">
        <v>479</v>
      </c>
      <c r="AJ1" s="299" t="s">
        <v>480</v>
      </c>
      <c r="AK1" s="299" t="s">
        <v>481</v>
      </c>
      <c r="AL1" s="299" t="s">
        <v>482</v>
      </c>
      <c r="AM1" s="299" t="s">
        <v>483</v>
      </c>
      <c r="AN1" s="299" t="s">
        <v>439</v>
      </c>
      <c r="AO1" s="299" t="s">
        <v>409</v>
      </c>
      <c r="AP1" s="299" t="s">
        <v>485</v>
      </c>
      <c r="AQ1" s="299" t="s">
        <v>486</v>
      </c>
      <c r="AR1" s="299" t="s">
        <v>487</v>
      </c>
      <c r="AS1" s="299" t="s">
        <v>489</v>
      </c>
      <c r="AT1" s="299" t="s">
        <v>488</v>
      </c>
      <c r="AU1" s="302" t="s">
        <v>490</v>
      </c>
      <c r="AV1" s="302" t="s">
        <v>492</v>
      </c>
      <c r="AW1" s="303" t="s">
        <v>494</v>
      </c>
      <c r="AX1" s="299" t="s">
        <v>495</v>
      </c>
      <c r="AY1" s="303" t="s">
        <v>496</v>
      </c>
    </row>
    <row r="2" spans="1:51" x14ac:dyDescent="0.3">
      <c r="A2" s="306">
        <v>1</v>
      </c>
      <c r="B2" s="306" t="s">
        <v>520</v>
      </c>
      <c r="C2" s="306" t="s">
        <v>498</v>
      </c>
      <c r="D2" s="306" t="s">
        <v>552</v>
      </c>
      <c r="E2" s="307" t="s">
        <v>554</v>
      </c>
      <c r="F2" s="307" t="s">
        <v>555</v>
      </c>
      <c r="G2" s="306">
        <v>18</v>
      </c>
      <c r="H2" s="306" t="s">
        <v>521</v>
      </c>
      <c r="I2" s="306" t="s">
        <v>20</v>
      </c>
      <c r="J2" s="306" t="s">
        <v>20</v>
      </c>
      <c r="K2" s="306" t="s">
        <v>20</v>
      </c>
      <c r="L2" s="306" t="s">
        <v>20</v>
      </c>
      <c r="M2" s="306" t="s">
        <v>522</v>
      </c>
      <c r="N2" s="306" t="s">
        <v>20</v>
      </c>
      <c r="O2" s="306" t="s">
        <v>20</v>
      </c>
      <c r="P2" s="306" t="s">
        <v>584</v>
      </c>
      <c r="Q2" s="306" t="s">
        <v>20</v>
      </c>
      <c r="R2" s="306" t="s">
        <v>587</v>
      </c>
      <c r="S2" s="306" t="s">
        <v>20</v>
      </c>
      <c r="T2" s="306" t="s">
        <v>585</v>
      </c>
      <c r="U2" s="306" t="s">
        <v>20</v>
      </c>
      <c r="V2" s="306" t="s">
        <v>20</v>
      </c>
      <c r="W2" s="306" t="s">
        <v>20</v>
      </c>
      <c r="X2" s="306" t="s">
        <v>599</v>
      </c>
      <c r="Y2" s="306" t="s">
        <v>20</v>
      </c>
      <c r="Z2" s="306" t="s">
        <v>20</v>
      </c>
      <c r="AA2" s="306" t="s">
        <v>20</v>
      </c>
      <c r="AB2" s="306" t="s">
        <v>20</v>
      </c>
      <c r="AC2" s="306" t="s">
        <v>20</v>
      </c>
      <c r="AD2" s="306" t="s">
        <v>20</v>
      </c>
      <c r="AE2" s="306" t="s">
        <v>20</v>
      </c>
      <c r="AF2" s="306" t="s">
        <v>20</v>
      </c>
      <c r="AG2" s="306" t="s">
        <v>20</v>
      </c>
      <c r="AH2" s="306" t="s">
        <v>20</v>
      </c>
      <c r="AI2" s="306" t="s">
        <v>20</v>
      </c>
      <c r="AJ2" s="306" t="s">
        <v>20</v>
      </c>
      <c r="AK2" s="306" t="s">
        <v>411</v>
      </c>
      <c r="AL2" s="306" t="s">
        <v>411</v>
      </c>
      <c r="AM2" s="306" t="s">
        <v>20</v>
      </c>
      <c r="AN2" s="306" t="s">
        <v>20</v>
      </c>
      <c r="AO2" s="306" t="s">
        <v>20</v>
      </c>
      <c r="AP2" s="306" t="s">
        <v>20</v>
      </c>
      <c r="AQ2" s="306" t="s">
        <v>20</v>
      </c>
      <c r="AR2" s="306" t="s">
        <v>20</v>
      </c>
      <c r="AS2" s="306" t="s">
        <v>20</v>
      </c>
      <c r="AT2" s="306" t="s">
        <v>20</v>
      </c>
      <c r="AU2" s="306" t="s">
        <v>411</v>
      </c>
      <c r="AV2" s="306" t="s">
        <v>20</v>
      </c>
      <c r="AW2" s="306">
        <v>10</v>
      </c>
      <c r="AX2" s="306" t="s">
        <v>588</v>
      </c>
      <c r="AY2" s="306" t="s">
        <v>589</v>
      </c>
    </row>
    <row r="3" spans="1:51" x14ac:dyDescent="0.3">
      <c r="A3" s="306">
        <v>2</v>
      </c>
      <c r="B3" t="s">
        <v>523</v>
      </c>
      <c r="C3" t="s">
        <v>542</v>
      </c>
      <c r="D3" t="s">
        <v>658</v>
      </c>
      <c r="E3" t="s">
        <v>881</v>
      </c>
      <c r="F3" t="s">
        <v>882</v>
      </c>
      <c r="G3" s="306">
        <v>9</v>
      </c>
      <c r="H3" t="s">
        <v>521</v>
      </c>
      <c r="I3" t="s">
        <v>20</v>
      </c>
      <c r="J3" t="s">
        <v>20</v>
      </c>
      <c r="K3" t="s">
        <v>20</v>
      </c>
      <c r="L3" t="s">
        <v>20</v>
      </c>
      <c r="M3" t="s">
        <v>697</v>
      </c>
      <c r="N3" t="s">
        <v>411</v>
      </c>
      <c r="O3" t="s">
        <v>411</v>
      </c>
      <c r="P3" t="s">
        <v>856</v>
      </c>
      <c r="Q3" t="s">
        <v>20</v>
      </c>
      <c r="R3" t="s">
        <v>883</v>
      </c>
      <c r="S3" t="s">
        <v>20</v>
      </c>
      <c r="T3" t="s">
        <v>585</v>
      </c>
      <c r="U3" t="s">
        <v>20</v>
      </c>
      <c r="V3" t="s">
        <v>20</v>
      </c>
      <c r="W3" t="s">
        <v>20</v>
      </c>
      <c r="X3" t="s">
        <v>884</v>
      </c>
      <c r="Y3" t="s">
        <v>20</v>
      </c>
      <c r="Z3" t="s">
        <v>20</v>
      </c>
      <c r="AA3" t="s">
        <v>545</v>
      </c>
      <c r="AB3" t="s">
        <v>545</v>
      </c>
      <c r="AC3" t="s">
        <v>20</v>
      </c>
      <c r="AD3" t="s">
        <v>20</v>
      </c>
      <c r="AE3" t="s">
        <v>20</v>
      </c>
      <c r="AF3" t="s">
        <v>545</v>
      </c>
      <c r="AG3" t="s">
        <v>411</v>
      </c>
      <c r="AH3" t="s">
        <v>545</v>
      </c>
      <c r="AI3" t="s">
        <v>545</v>
      </c>
      <c r="AJ3" t="s">
        <v>545</v>
      </c>
      <c r="AK3" t="s">
        <v>545</v>
      </c>
      <c r="AL3" t="s">
        <v>411</v>
      </c>
      <c r="AM3" t="s">
        <v>411</v>
      </c>
      <c r="AN3" t="s">
        <v>411</v>
      </c>
      <c r="AO3" t="s">
        <v>411</v>
      </c>
      <c r="AP3" t="s">
        <v>411</v>
      </c>
      <c r="AQ3" t="s">
        <v>411</v>
      </c>
      <c r="AR3" t="s">
        <v>411</v>
      </c>
      <c r="AS3" t="s">
        <v>411</v>
      </c>
      <c r="AT3" t="s">
        <v>20</v>
      </c>
      <c r="AU3" s="306" t="s">
        <v>411</v>
      </c>
      <c r="AV3" s="306" t="s">
        <v>20</v>
      </c>
      <c r="AW3" s="306">
        <v>8</v>
      </c>
      <c r="AX3" t="s">
        <v>730</v>
      </c>
      <c r="AY3" t="s">
        <v>731</v>
      </c>
    </row>
    <row r="4" spans="1:51" x14ac:dyDescent="0.3">
      <c r="A4" s="306">
        <v>3</v>
      </c>
      <c r="B4" t="s">
        <v>663</v>
      </c>
      <c r="C4" t="s">
        <v>542</v>
      </c>
      <c r="D4" t="s">
        <v>658</v>
      </c>
      <c r="E4" t="s">
        <v>885</v>
      </c>
      <c r="F4" t="s">
        <v>886</v>
      </c>
      <c r="G4" s="306">
        <v>31</v>
      </c>
      <c r="H4" t="s">
        <v>521</v>
      </c>
      <c r="I4" t="s">
        <v>20</v>
      </c>
      <c r="J4" t="s">
        <v>20</v>
      </c>
      <c r="K4" t="s">
        <v>20</v>
      </c>
      <c r="L4" t="s">
        <v>20</v>
      </c>
      <c r="M4" t="s">
        <v>732</v>
      </c>
      <c r="N4" t="s">
        <v>411</v>
      </c>
      <c r="O4" t="s">
        <v>411</v>
      </c>
      <c r="P4" t="s">
        <v>857</v>
      </c>
      <c r="Q4" t="s">
        <v>20</v>
      </c>
      <c r="R4" t="s">
        <v>887</v>
      </c>
      <c r="S4" t="s">
        <v>20</v>
      </c>
      <c r="T4" t="s">
        <v>585</v>
      </c>
      <c r="U4" t="s">
        <v>20</v>
      </c>
      <c r="V4" t="s">
        <v>20</v>
      </c>
      <c r="W4" t="s">
        <v>20</v>
      </c>
      <c r="X4" t="s">
        <v>888</v>
      </c>
      <c r="Y4" t="s">
        <v>20</v>
      </c>
      <c r="Z4" t="s">
        <v>20</v>
      </c>
      <c r="AA4" t="s">
        <v>20</v>
      </c>
      <c r="AB4" t="s">
        <v>545</v>
      </c>
      <c r="AC4" t="s">
        <v>20</v>
      </c>
      <c r="AD4" t="s">
        <v>20</v>
      </c>
      <c r="AE4" t="s">
        <v>20</v>
      </c>
      <c r="AF4" t="s">
        <v>20</v>
      </c>
      <c r="AG4" t="s">
        <v>20</v>
      </c>
      <c r="AH4" t="s">
        <v>20</v>
      </c>
      <c r="AI4" t="s">
        <v>20</v>
      </c>
      <c r="AJ4" t="s">
        <v>20</v>
      </c>
      <c r="AK4" t="s">
        <v>20</v>
      </c>
      <c r="AL4" t="s">
        <v>20</v>
      </c>
      <c r="AM4" t="s">
        <v>411</v>
      </c>
      <c r="AN4" t="s">
        <v>20</v>
      </c>
      <c r="AO4" t="s">
        <v>20</v>
      </c>
      <c r="AP4" t="s">
        <v>411</v>
      </c>
      <c r="AQ4" t="s">
        <v>411</v>
      </c>
      <c r="AR4" t="s">
        <v>411</v>
      </c>
      <c r="AS4" t="s">
        <v>411</v>
      </c>
      <c r="AT4" t="s">
        <v>20</v>
      </c>
      <c r="AU4" s="306" t="s">
        <v>411</v>
      </c>
      <c r="AV4" s="306" t="s">
        <v>20</v>
      </c>
      <c r="AW4" s="306">
        <v>9</v>
      </c>
      <c r="AX4" t="s">
        <v>733</v>
      </c>
      <c r="AY4" t="s">
        <v>734</v>
      </c>
    </row>
    <row r="5" spans="1:51" x14ac:dyDescent="0.3">
      <c r="A5" s="306">
        <v>4</v>
      </c>
      <c r="B5" t="s">
        <v>508</v>
      </c>
      <c r="C5" t="s">
        <v>659</v>
      </c>
      <c r="D5" t="s">
        <v>728</v>
      </c>
      <c r="E5" t="s">
        <v>889</v>
      </c>
      <c r="F5" t="s">
        <v>890</v>
      </c>
      <c r="G5" s="306">
        <v>27</v>
      </c>
      <c r="H5" t="s">
        <v>521</v>
      </c>
      <c r="I5" t="s">
        <v>20</v>
      </c>
      <c r="J5" t="s">
        <v>20</v>
      </c>
      <c r="K5" t="s">
        <v>20</v>
      </c>
      <c r="L5" t="s">
        <v>20</v>
      </c>
      <c r="M5" t="s">
        <v>740</v>
      </c>
      <c r="N5" t="s">
        <v>20</v>
      </c>
      <c r="O5" t="s">
        <v>411</v>
      </c>
      <c r="P5" t="s">
        <v>858</v>
      </c>
      <c r="Q5" t="s">
        <v>20</v>
      </c>
      <c r="R5" t="s">
        <v>891</v>
      </c>
      <c r="S5" t="s">
        <v>411</v>
      </c>
      <c r="T5" t="s">
        <v>892</v>
      </c>
      <c r="U5" t="s">
        <v>20</v>
      </c>
      <c r="V5" t="s">
        <v>20</v>
      </c>
      <c r="W5" t="s">
        <v>20</v>
      </c>
      <c r="X5" t="s">
        <v>893</v>
      </c>
      <c r="Y5" t="s">
        <v>20</v>
      </c>
      <c r="Z5" t="s">
        <v>20</v>
      </c>
      <c r="AA5" t="s">
        <v>20</v>
      </c>
      <c r="AB5" t="s">
        <v>20</v>
      </c>
      <c r="AC5" t="s">
        <v>20</v>
      </c>
      <c r="AD5" t="s">
        <v>20</v>
      </c>
      <c r="AE5" t="s">
        <v>20</v>
      </c>
      <c r="AF5" t="s">
        <v>20</v>
      </c>
      <c r="AG5" t="s">
        <v>20</v>
      </c>
      <c r="AH5" t="s">
        <v>20</v>
      </c>
      <c r="AI5" t="s">
        <v>411</v>
      </c>
      <c r="AJ5" t="s">
        <v>735</v>
      </c>
      <c r="AK5" t="s">
        <v>20</v>
      </c>
      <c r="AL5" t="s">
        <v>411</v>
      </c>
      <c r="AM5" t="s">
        <v>411</v>
      </c>
      <c r="AN5" t="s">
        <v>411</v>
      </c>
      <c r="AO5" t="s">
        <v>20</v>
      </c>
      <c r="AP5" t="s">
        <v>20</v>
      </c>
      <c r="AQ5" t="s">
        <v>20</v>
      </c>
      <c r="AR5" t="s">
        <v>20</v>
      </c>
      <c r="AS5" t="s">
        <v>20</v>
      </c>
      <c r="AT5" t="s">
        <v>411</v>
      </c>
      <c r="AU5" t="s">
        <v>20</v>
      </c>
      <c r="AV5" s="306" t="s">
        <v>20</v>
      </c>
      <c r="AW5" s="306">
        <v>9</v>
      </c>
      <c r="AX5" t="s">
        <v>736</v>
      </c>
      <c r="AY5" t="s">
        <v>737</v>
      </c>
    </row>
    <row r="6" spans="1:51" x14ac:dyDescent="0.3">
      <c r="A6" s="306">
        <v>5</v>
      </c>
      <c r="B6" t="s">
        <v>727</v>
      </c>
      <c r="C6" t="s">
        <v>659</v>
      </c>
      <c r="D6" t="s">
        <v>728</v>
      </c>
      <c r="E6" t="s">
        <v>894</v>
      </c>
      <c r="F6" t="s">
        <v>855</v>
      </c>
      <c r="G6" s="306">
        <v>24</v>
      </c>
      <c r="H6" t="s">
        <v>521</v>
      </c>
      <c r="I6" t="s">
        <v>411</v>
      </c>
      <c r="J6" t="s">
        <v>20</v>
      </c>
      <c r="K6" t="s">
        <v>20</v>
      </c>
      <c r="L6" t="s">
        <v>20</v>
      </c>
      <c r="M6" t="s">
        <v>501</v>
      </c>
      <c r="N6" t="s">
        <v>20</v>
      </c>
      <c r="O6" t="s">
        <v>20</v>
      </c>
      <c r="P6" t="s">
        <v>859</v>
      </c>
      <c r="Q6" t="s">
        <v>20</v>
      </c>
      <c r="R6" t="s">
        <v>895</v>
      </c>
      <c r="S6" t="s">
        <v>411</v>
      </c>
      <c r="T6" t="s">
        <v>896</v>
      </c>
      <c r="U6" t="s">
        <v>20</v>
      </c>
      <c r="V6" t="s">
        <v>20</v>
      </c>
      <c r="W6" t="s">
        <v>20</v>
      </c>
      <c r="X6" t="s">
        <v>897</v>
      </c>
      <c r="Y6" t="s">
        <v>20</v>
      </c>
      <c r="Z6" t="s">
        <v>20</v>
      </c>
      <c r="AA6" t="s">
        <v>20</v>
      </c>
      <c r="AB6" t="s">
        <v>20</v>
      </c>
      <c r="AC6" t="s">
        <v>20</v>
      </c>
      <c r="AD6" t="s">
        <v>20</v>
      </c>
      <c r="AE6" t="s">
        <v>20</v>
      </c>
      <c r="AF6" t="s">
        <v>20</v>
      </c>
      <c r="AG6" t="s">
        <v>20</v>
      </c>
      <c r="AH6" t="s">
        <v>20</v>
      </c>
      <c r="AI6" t="s">
        <v>20</v>
      </c>
      <c r="AJ6" t="s">
        <v>735</v>
      </c>
      <c r="AK6" t="s">
        <v>20</v>
      </c>
      <c r="AL6" t="s">
        <v>20</v>
      </c>
      <c r="AM6" t="s">
        <v>20</v>
      </c>
      <c r="AN6" t="s">
        <v>20</v>
      </c>
      <c r="AO6" t="s">
        <v>20</v>
      </c>
      <c r="AP6" t="s">
        <v>20</v>
      </c>
      <c r="AQ6" t="s">
        <v>20</v>
      </c>
      <c r="AR6" t="s">
        <v>20</v>
      </c>
      <c r="AS6" t="s">
        <v>20</v>
      </c>
      <c r="AT6" t="s">
        <v>411</v>
      </c>
      <c r="AU6" t="s">
        <v>20</v>
      </c>
      <c r="AV6" s="306" t="s">
        <v>20</v>
      </c>
      <c r="AW6" s="306">
        <v>6</v>
      </c>
      <c r="AX6" t="s">
        <v>738</v>
      </c>
      <c r="AY6" t="s">
        <v>739</v>
      </c>
    </row>
    <row r="7" spans="1:51" x14ac:dyDescent="0.3">
      <c r="A7" s="306"/>
    </row>
  </sheetData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5DE07-1ACA-4CD2-BAA2-965E352FBC94}">
  <sheetPr>
    <tabColor rgb="FFFF99CC"/>
  </sheetPr>
  <dimension ref="A1:AV23"/>
  <sheetViews>
    <sheetView zoomScale="90" zoomScaleNormal="90" workbookViewId="0">
      <selection activeCell="F19" sqref="F19"/>
    </sheetView>
  </sheetViews>
  <sheetFormatPr defaultRowHeight="14.4" x14ac:dyDescent="0.3"/>
  <sheetData>
    <row r="1" spans="1:48" ht="75.75" customHeight="1" x14ac:dyDescent="0.3">
      <c r="A1" s="299" t="s">
        <v>451</v>
      </c>
      <c r="B1" s="299" t="s">
        <v>452</v>
      </c>
      <c r="C1" s="299" t="s">
        <v>453</v>
      </c>
      <c r="D1" s="300" t="s">
        <v>454</v>
      </c>
      <c r="E1" s="301" t="s">
        <v>455</v>
      </c>
      <c r="F1" s="301" t="s">
        <v>456</v>
      </c>
      <c r="G1" s="300" t="s">
        <v>457</v>
      </c>
      <c r="H1" s="300" t="s">
        <v>458</v>
      </c>
      <c r="I1" s="299" t="s">
        <v>459</v>
      </c>
      <c r="J1" s="299" t="s">
        <v>460</v>
      </c>
      <c r="K1" s="299" t="s">
        <v>461</v>
      </c>
      <c r="L1" s="299" t="s">
        <v>462</v>
      </c>
      <c r="M1" s="299" t="s">
        <v>463</v>
      </c>
      <c r="N1" s="299" t="s">
        <v>393</v>
      </c>
      <c r="O1" s="299" t="s">
        <v>464</v>
      </c>
      <c r="P1" s="299" t="s">
        <v>558</v>
      </c>
      <c r="Q1" s="299" t="s">
        <v>548</v>
      </c>
      <c r="R1" s="300" t="s">
        <v>549</v>
      </c>
      <c r="S1" s="299" t="s">
        <v>467</v>
      </c>
      <c r="T1" s="299" t="s">
        <v>491</v>
      </c>
      <c r="U1" s="299" t="s">
        <v>468</v>
      </c>
      <c r="V1" s="299" t="s">
        <v>469</v>
      </c>
      <c r="W1" s="299" t="s">
        <v>470</v>
      </c>
      <c r="X1" s="299" t="s">
        <v>471</v>
      </c>
      <c r="Y1" s="299" t="s">
        <v>472</v>
      </c>
      <c r="Z1" s="299" t="s">
        <v>473</v>
      </c>
      <c r="AA1" s="300" t="s">
        <v>474</v>
      </c>
      <c r="AB1" s="299" t="s">
        <v>475</v>
      </c>
      <c r="AC1" s="300" t="s">
        <v>476</v>
      </c>
      <c r="AD1" s="299" t="s">
        <v>477</v>
      </c>
      <c r="AE1" s="299" t="s">
        <v>478</v>
      </c>
      <c r="AF1" s="299" t="s">
        <v>479</v>
      </c>
      <c r="AG1" s="299" t="s">
        <v>480</v>
      </c>
      <c r="AH1" s="299" t="s">
        <v>481</v>
      </c>
      <c r="AI1" s="299" t="s">
        <v>482</v>
      </c>
      <c r="AJ1" s="299" t="s">
        <v>483</v>
      </c>
      <c r="AK1" s="299" t="s">
        <v>420</v>
      </c>
      <c r="AL1" s="299" t="s">
        <v>444</v>
      </c>
      <c r="AM1" s="302" t="s">
        <v>421</v>
      </c>
      <c r="AN1" s="302" t="s">
        <v>443</v>
      </c>
      <c r="AO1" s="302" t="s">
        <v>445</v>
      </c>
      <c r="AP1" s="302" t="s">
        <v>419</v>
      </c>
      <c r="AQ1" s="302" t="s">
        <v>442</v>
      </c>
      <c r="AR1" s="302" t="s">
        <v>492</v>
      </c>
      <c r="AS1" s="303" t="s">
        <v>494</v>
      </c>
      <c r="AT1" s="299" t="s">
        <v>495</v>
      </c>
      <c r="AU1" s="303" t="s">
        <v>496</v>
      </c>
    </row>
    <row r="2" spans="1:48" x14ac:dyDescent="0.3">
      <c r="A2" s="306">
        <v>1</v>
      </c>
      <c r="B2" s="306" t="s">
        <v>539</v>
      </c>
      <c r="C2" s="306" t="s">
        <v>542</v>
      </c>
      <c r="D2" s="306" t="s">
        <v>510</v>
      </c>
      <c r="E2" s="306" t="s">
        <v>614</v>
      </c>
      <c r="F2" s="306" t="s">
        <v>615</v>
      </c>
      <c r="G2" s="306">
        <v>9</v>
      </c>
      <c r="H2" s="306" t="s">
        <v>543</v>
      </c>
      <c r="I2" s="306" t="s">
        <v>20</v>
      </c>
      <c r="J2" s="306" t="s">
        <v>20</v>
      </c>
      <c r="K2" s="306" t="s">
        <v>20</v>
      </c>
      <c r="L2" s="306" t="s">
        <v>20</v>
      </c>
      <c r="M2" s="306" t="s">
        <v>544</v>
      </c>
      <c r="N2" s="306" t="s">
        <v>411</v>
      </c>
      <c r="O2" s="306" t="s">
        <v>411</v>
      </c>
      <c r="P2" s="306" t="s">
        <v>564</v>
      </c>
      <c r="Q2" s="306" t="s">
        <v>20</v>
      </c>
      <c r="R2" s="306" t="s">
        <v>411</v>
      </c>
      <c r="S2" s="306" t="s">
        <v>20</v>
      </c>
      <c r="T2" s="306" t="s">
        <v>20</v>
      </c>
      <c r="U2" s="306" t="s">
        <v>20</v>
      </c>
      <c r="V2" s="306" t="s">
        <v>20</v>
      </c>
      <c r="W2" s="306" t="s">
        <v>411</v>
      </c>
      <c r="X2" s="306" t="s">
        <v>20</v>
      </c>
      <c r="Y2" s="306" t="s">
        <v>20</v>
      </c>
      <c r="Z2" s="306" t="s">
        <v>20</v>
      </c>
      <c r="AA2" s="306" t="s">
        <v>20</v>
      </c>
      <c r="AB2" s="306" t="s">
        <v>411</v>
      </c>
      <c r="AC2" s="306" t="s">
        <v>20</v>
      </c>
      <c r="AD2" s="306" t="s">
        <v>411</v>
      </c>
      <c r="AE2" s="306" t="s">
        <v>411</v>
      </c>
      <c r="AF2" s="306" t="s">
        <v>411</v>
      </c>
      <c r="AG2" s="306" t="s">
        <v>545</v>
      </c>
      <c r="AH2" s="306" t="s">
        <v>411</v>
      </c>
      <c r="AI2" s="306" t="s">
        <v>411</v>
      </c>
      <c r="AJ2" s="306" t="s">
        <v>411</v>
      </c>
      <c r="AK2" s="306" t="s">
        <v>411</v>
      </c>
      <c r="AL2" s="306" t="s">
        <v>411</v>
      </c>
      <c r="AM2" s="306" t="s">
        <v>411</v>
      </c>
      <c r="AN2" s="306" t="s">
        <v>502</v>
      </c>
      <c r="AO2" s="306" t="s">
        <v>411</v>
      </c>
      <c r="AP2" s="306" t="s">
        <v>411</v>
      </c>
      <c r="AQ2" s="306" t="s">
        <v>411</v>
      </c>
      <c r="AR2" s="306" t="s">
        <v>411</v>
      </c>
      <c r="AS2" s="306">
        <v>5</v>
      </c>
      <c r="AT2" s="306" t="s">
        <v>621</v>
      </c>
      <c r="AU2" s="306" t="s">
        <v>546</v>
      </c>
    </row>
    <row r="3" spans="1:48" x14ac:dyDescent="0.3">
      <c r="A3" s="306">
        <v>2</v>
      </c>
      <c r="B3" s="306" t="s">
        <v>533</v>
      </c>
      <c r="C3" s="306" t="s">
        <v>550</v>
      </c>
      <c r="D3" s="306" t="s">
        <v>553</v>
      </c>
      <c r="E3" s="306" t="s">
        <v>622</v>
      </c>
      <c r="F3" s="306" t="s">
        <v>623</v>
      </c>
      <c r="G3" s="306">
        <v>39</v>
      </c>
      <c r="H3" s="306" t="s">
        <v>543</v>
      </c>
      <c r="I3" s="306" t="s">
        <v>20</v>
      </c>
      <c r="J3" s="306" t="s">
        <v>20</v>
      </c>
      <c r="K3" s="306" t="s">
        <v>20</v>
      </c>
      <c r="L3" s="306" t="s">
        <v>20</v>
      </c>
      <c r="M3" s="306" t="s">
        <v>624</v>
      </c>
      <c r="N3" s="306" t="s">
        <v>20</v>
      </c>
      <c r="O3" s="306" t="s">
        <v>20</v>
      </c>
      <c r="P3" s="306" t="s">
        <v>602</v>
      </c>
      <c r="Q3" s="306" t="s">
        <v>20</v>
      </c>
      <c r="R3" s="306" t="s">
        <v>20</v>
      </c>
      <c r="S3" s="306" t="s">
        <v>20</v>
      </c>
      <c r="T3" s="306" t="s">
        <v>20</v>
      </c>
      <c r="U3" s="306" t="s">
        <v>20</v>
      </c>
      <c r="V3" s="306" t="s">
        <v>20</v>
      </c>
      <c r="W3" s="306" t="s">
        <v>20</v>
      </c>
      <c r="X3" s="306" t="s">
        <v>20</v>
      </c>
      <c r="Y3" s="306" t="s">
        <v>411</v>
      </c>
      <c r="Z3" s="306" t="s">
        <v>20</v>
      </c>
      <c r="AA3" s="306" t="s">
        <v>20</v>
      </c>
      <c r="AB3" s="306" t="s">
        <v>20</v>
      </c>
      <c r="AC3" s="306" t="s">
        <v>20</v>
      </c>
      <c r="AD3" s="306" t="s">
        <v>20</v>
      </c>
      <c r="AE3" s="306" t="s">
        <v>20</v>
      </c>
      <c r="AF3" s="306" t="s">
        <v>20</v>
      </c>
      <c r="AG3" s="306" t="s">
        <v>20</v>
      </c>
      <c r="AH3" s="306" t="s">
        <v>20</v>
      </c>
      <c r="AI3" s="306" t="s">
        <v>20</v>
      </c>
      <c r="AJ3" s="306" t="s">
        <v>20</v>
      </c>
      <c r="AK3" s="306" t="s">
        <v>20</v>
      </c>
      <c r="AL3" s="306" t="s">
        <v>20</v>
      </c>
      <c r="AM3" s="306" t="s">
        <v>20</v>
      </c>
      <c r="AN3" s="306" t="s">
        <v>502</v>
      </c>
      <c r="AO3" s="306" t="s">
        <v>20</v>
      </c>
      <c r="AP3" s="306" t="s">
        <v>20</v>
      </c>
      <c r="AQ3" s="306" t="s">
        <v>20</v>
      </c>
      <c r="AR3" s="306" t="s">
        <v>411</v>
      </c>
      <c r="AS3" s="306">
        <v>9</v>
      </c>
      <c r="AT3" s="306" t="s">
        <v>627</v>
      </c>
      <c r="AU3" s="306"/>
    </row>
    <row r="4" spans="1:48" x14ac:dyDescent="0.3">
      <c r="A4" s="306">
        <v>3</v>
      </c>
      <c r="B4" s="306" t="s">
        <v>537</v>
      </c>
      <c r="C4" s="306" t="s">
        <v>550</v>
      </c>
      <c r="D4" s="306" t="s">
        <v>553</v>
      </c>
      <c r="E4" s="306" t="s">
        <v>629</v>
      </c>
      <c r="F4" s="306" t="s">
        <v>630</v>
      </c>
      <c r="G4" s="306">
        <v>15</v>
      </c>
      <c r="H4" s="306" t="s">
        <v>543</v>
      </c>
      <c r="I4" s="306" t="s">
        <v>20</v>
      </c>
      <c r="J4" s="306" t="s">
        <v>20</v>
      </c>
      <c r="K4" s="306" t="s">
        <v>20</v>
      </c>
      <c r="L4" s="306" t="s">
        <v>20</v>
      </c>
      <c r="M4" s="306" t="s">
        <v>631</v>
      </c>
      <c r="N4" s="306" t="s">
        <v>20</v>
      </c>
      <c r="O4" s="306" t="s">
        <v>20</v>
      </c>
      <c r="P4" s="306" t="s">
        <v>602</v>
      </c>
      <c r="Q4" s="306" t="s">
        <v>411</v>
      </c>
      <c r="R4" s="306" t="s">
        <v>20</v>
      </c>
      <c r="S4" s="306" t="s">
        <v>20</v>
      </c>
      <c r="T4" s="306" t="s">
        <v>20</v>
      </c>
      <c r="U4" s="306" t="s">
        <v>20</v>
      </c>
      <c r="V4" s="306" t="s">
        <v>20</v>
      </c>
      <c r="W4" t="s">
        <v>20</v>
      </c>
      <c r="X4" t="s">
        <v>20</v>
      </c>
      <c r="Y4" t="s">
        <v>411</v>
      </c>
      <c r="Z4" t="s">
        <v>411</v>
      </c>
      <c r="AA4" t="s">
        <v>20</v>
      </c>
      <c r="AB4" t="s">
        <v>411</v>
      </c>
      <c r="AC4" t="s">
        <v>411</v>
      </c>
      <c r="AD4" t="s">
        <v>411</v>
      </c>
      <c r="AE4" t="s">
        <v>411</v>
      </c>
      <c r="AF4" t="s">
        <v>411</v>
      </c>
      <c r="AG4" t="s">
        <v>411</v>
      </c>
      <c r="AH4" t="s">
        <v>411</v>
      </c>
      <c r="AI4" t="s">
        <v>20</v>
      </c>
      <c r="AJ4" t="s">
        <v>20</v>
      </c>
      <c r="AK4" t="s">
        <v>20</v>
      </c>
      <c r="AL4" t="s">
        <v>20</v>
      </c>
      <c r="AM4" t="s">
        <v>20</v>
      </c>
      <c r="AN4" t="s">
        <v>502</v>
      </c>
      <c r="AO4" t="s">
        <v>20</v>
      </c>
      <c r="AP4" t="s">
        <v>411</v>
      </c>
      <c r="AQ4" t="s">
        <v>411</v>
      </c>
      <c r="AR4" s="306" t="s">
        <v>411</v>
      </c>
      <c r="AS4" s="306">
        <v>7</v>
      </c>
      <c r="AT4" s="306" t="s">
        <v>637</v>
      </c>
      <c r="AU4" s="313" t="s">
        <v>636</v>
      </c>
    </row>
    <row r="5" spans="1:48" x14ac:dyDescent="0.3">
      <c r="A5" s="306">
        <v>4</v>
      </c>
      <c r="B5" s="306" t="s">
        <v>523</v>
      </c>
      <c r="C5" s="306" t="s">
        <v>550</v>
      </c>
      <c r="D5" s="306" t="s">
        <v>656</v>
      </c>
      <c r="E5" s="306" t="s">
        <v>905</v>
      </c>
      <c r="F5" s="306" t="s">
        <v>906</v>
      </c>
      <c r="G5" s="306">
        <v>35</v>
      </c>
      <c r="H5" s="306" t="s">
        <v>543</v>
      </c>
      <c r="I5" t="s">
        <v>20</v>
      </c>
      <c r="J5" t="s">
        <v>20</v>
      </c>
      <c r="K5" t="s">
        <v>20</v>
      </c>
      <c r="L5" t="s">
        <v>20</v>
      </c>
      <c r="M5" t="s">
        <v>741</v>
      </c>
      <c r="N5" t="s">
        <v>20</v>
      </c>
      <c r="O5" t="s">
        <v>20</v>
      </c>
      <c r="P5" s="306" t="s">
        <v>898</v>
      </c>
      <c r="Q5" s="306" t="s">
        <v>20</v>
      </c>
      <c r="R5" s="306" t="s">
        <v>411</v>
      </c>
      <c r="S5" s="306" t="s">
        <v>20</v>
      </c>
      <c r="T5" s="306" t="s">
        <v>20</v>
      </c>
      <c r="U5" s="306" t="s">
        <v>20</v>
      </c>
      <c r="V5" s="306" t="s">
        <v>20</v>
      </c>
      <c r="W5" s="306" t="s">
        <v>20</v>
      </c>
      <c r="X5" s="306" t="s">
        <v>545</v>
      </c>
      <c r="Y5" s="306" t="s">
        <v>545</v>
      </c>
      <c r="Z5" s="306" t="s">
        <v>545</v>
      </c>
      <c r="AA5" s="306" t="s">
        <v>20</v>
      </c>
      <c r="AB5" s="306" t="s">
        <v>20</v>
      </c>
      <c r="AC5" s="306" t="s">
        <v>20</v>
      </c>
      <c r="AD5" s="306" t="s">
        <v>20</v>
      </c>
      <c r="AE5" s="306" t="s">
        <v>20</v>
      </c>
      <c r="AF5" s="306" t="s">
        <v>20</v>
      </c>
      <c r="AG5" s="306" t="s">
        <v>20</v>
      </c>
      <c r="AH5" s="306" t="s">
        <v>20</v>
      </c>
      <c r="AI5" s="306" t="s">
        <v>20</v>
      </c>
      <c r="AJ5" s="306" t="s">
        <v>20</v>
      </c>
      <c r="AK5" s="306" t="s">
        <v>20</v>
      </c>
      <c r="AL5" s="306" t="s">
        <v>20</v>
      </c>
      <c r="AM5" s="306" t="s">
        <v>20</v>
      </c>
      <c r="AN5" s="306" t="s">
        <v>20</v>
      </c>
      <c r="AO5" s="306" t="s">
        <v>20</v>
      </c>
      <c r="AP5" s="306" t="s">
        <v>20</v>
      </c>
      <c r="AQ5" s="306" t="s">
        <v>20</v>
      </c>
      <c r="AR5" s="306" t="s">
        <v>411</v>
      </c>
      <c r="AS5" s="306">
        <v>8</v>
      </c>
      <c r="AT5" s="306" t="s">
        <v>742</v>
      </c>
    </row>
    <row r="6" spans="1:48" x14ac:dyDescent="0.3">
      <c r="A6" s="306">
        <v>5</v>
      </c>
      <c r="B6" s="306" t="s">
        <v>497</v>
      </c>
      <c r="C6" s="306" t="s">
        <v>542</v>
      </c>
      <c r="D6" s="306" t="s">
        <v>658</v>
      </c>
      <c r="E6" s="306" t="s">
        <v>907</v>
      </c>
      <c r="F6" s="306" t="s">
        <v>908</v>
      </c>
      <c r="G6" s="306">
        <v>10</v>
      </c>
      <c r="H6" s="306" t="s">
        <v>543</v>
      </c>
      <c r="I6" s="306" t="s">
        <v>20</v>
      </c>
      <c r="J6" s="306" t="s">
        <v>20</v>
      </c>
      <c r="K6" s="306" t="s">
        <v>20</v>
      </c>
      <c r="L6" s="306" t="s">
        <v>20</v>
      </c>
      <c r="M6" s="306" t="s">
        <v>501</v>
      </c>
      <c r="N6" s="306" t="s">
        <v>20</v>
      </c>
      <c r="O6" s="306" t="s">
        <v>20</v>
      </c>
      <c r="P6" s="306" t="s">
        <v>859</v>
      </c>
      <c r="Q6" s="306" t="s">
        <v>20</v>
      </c>
      <c r="R6" s="306" t="s">
        <v>20</v>
      </c>
      <c r="S6" s="306" t="s">
        <v>20</v>
      </c>
      <c r="T6" s="306" t="s">
        <v>20</v>
      </c>
      <c r="U6" s="306" t="s">
        <v>20</v>
      </c>
      <c r="V6" s="306" t="s">
        <v>20</v>
      </c>
      <c r="W6" s="306" t="s">
        <v>545</v>
      </c>
      <c r="X6" s="306" t="s">
        <v>20</v>
      </c>
      <c r="Y6" s="306" t="s">
        <v>545</v>
      </c>
      <c r="Z6" s="306" t="s">
        <v>545</v>
      </c>
      <c r="AA6" s="306" t="s">
        <v>20</v>
      </c>
      <c r="AB6" s="306" t="s">
        <v>545</v>
      </c>
      <c r="AC6" s="306" t="s">
        <v>20</v>
      </c>
      <c r="AD6" s="306" t="s">
        <v>411</v>
      </c>
      <c r="AE6" s="306" t="s">
        <v>545</v>
      </c>
      <c r="AF6" s="306" t="s">
        <v>545</v>
      </c>
      <c r="AG6" s="306" t="s">
        <v>545</v>
      </c>
      <c r="AH6" s="306" t="s">
        <v>545</v>
      </c>
      <c r="AI6" s="306" t="s">
        <v>411</v>
      </c>
      <c r="AJ6" s="306" t="s">
        <v>411</v>
      </c>
      <c r="AK6" s="306" t="s">
        <v>20</v>
      </c>
      <c r="AL6" s="306" t="s">
        <v>411</v>
      </c>
      <c r="AM6" s="306" t="s">
        <v>411</v>
      </c>
      <c r="AN6" s="306" t="s">
        <v>411</v>
      </c>
      <c r="AO6" s="306" t="s">
        <v>411</v>
      </c>
      <c r="AP6" s="306" t="s">
        <v>20</v>
      </c>
      <c r="AQ6" s="306" t="s">
        <v>411</v>
      </c>
      <c r="AR6" s="306" t="s">
        <v>411</v>
      </c>
      <c r="AS6" s="306">
        <v>6</v>
      </c>
      <c r="AT6" s="306" t="s">
        <v>729</v>
      </c>
      <c r="AU6" s="306" t="s">
        <v>743</v>
      </c>
    </row>
    <row r="7" spans="1:48" x14ac:dyDescent="0.3">
      <c r="A7" s="306">
        <v>6</v>
      </c>
      <c r="B7" s="306" t="s">
        <v>533</v>
      </c>
      <c r="C7" s="306" t="s">
        <v>542</v>
      </c>
      <c r="D7" s="306" t="s">
        <v>658</v>
      </c>
      <c r="E7" s="306" t="s">
        <v>909</v>
      </c>
      <c r="F7" s="306" t="s">
        <v>910</v>
      </c>
      <c r="G7" s="306">
        <v>24</v>
      </c>
      <c r="H7" t="s">
        <v>543</v>
      </c>
      <c r="I7" t="s">
        <v>20</v>
      </c>
      <c r="J7" t="s">
        <v>20</v>
      </c>
      <c r="K7" t="s">
        <v>20</v>
      </c>
      <c r="L7" t="s">
        <v>20</v>
      </c>
      <c r="M7" t="s">
        <v>744</v>
      </c>
      <c r="N7" t="s">
        <v>745</v>
      </c>
      <c r="O7" t="s">
        <v>411</v>
      </c>
      <c r="P7" s="306" t="s">
        <v>899</v>
      </c>
      <c r="Q7" t="s">
        <v>20</v>
      </c>
      <c r="R7" t="s">
        <v>20</v>
      </c>
      <c r="S7" t="s">
        <v>20</v>
      </c>
      <c r="T7" s="306" t="s">
        <v>20</v>
      </c>
      <c r="U7" t="s">
        <v>20</v>
      </c>
      <c r="V7" t="s">
        <v>20</v>
      </c>
      <c r="W7" t="s">
        <v>20</v>
      </c>
      <c r="X7" t="s">
        <v>20</v>
      </c>
      <c r="Y7" t="s">
        <v>20</v>
      </c>
      <c r="Z7" t="s">
        <v>20</v>
      </c>
      <c r="AA7" t="s">
        <v>20</v>
      </c>
      <c r="AB7" t="s">
        <v>20</v>
      </c>
      <c r="AC7" t="s">
        <v>20</v>
      </c>
      <c r="AD7" t="s">
        <v>411</v>
      </c>
      <c r="AE7" t="s">
        <v>545</v>
      </c>
      <c r="AF7" t="s">
        <v>545</v>
      </c>
      <c r="AG7" t="s">
        <v>545</v>
      </c>
      <c r="AH7" t="s">
        <v>20</v>
      </c>
      <c r="AI7" t="s">
        <v>411</v>
      </c>
      <c r="AJ7" t="s">
        <v>411</v>
      </c>
      <c r="AK7" t="s">
        <v>20</v>
      </c>
      <c r="AL7" t="s">
        <v>20</v>
      </c>
      <c r="AM7" t="s">
        <v>20</v>
      </c>
      <c r="AN7" t="s">
        <v>20</v>
      </c>
      <c r="AO7" t="s">
        <v>20</v>
      </c>
      <c r="AP7" t="s">
        <v>20</v>
      </c>
      <c r="AQ7" t="s">
        <v>20</v>
      </c>
      <c r="AR7" t="s">
        <v>20</v>
      </c>
      <c r="AS7" s="306">
        <v>9</v>
      </c>
      <c r="AT7" t="s">
        <v>746</v>
      </c>
      <c r="AU7" t="s">
        <v>747</v>
      </c>
    </row>
    <row r="8" spans="1:48" x14ac:dyDescent="0.3">
      <c r="A8" s="306">
        <v>7</v>
      </c>
      <c r="B8" s="306" t="s">
        <v>537</v>
      </c>
      <c r="C8" s="306" t="s">
        <v>542</v>
      </c>
      <c r="D8" s="306" t="s">
        <v>658</v>
      </c>
      <c r="E8" s="306" t="s">
        <v>911</v>
      </c>
      <c r="F8" s="306" t="s">
        <v>912</v>
      </c>
      <c r="G8" s="306">
        <v>12</v>
      </c>
      <c r="H8" t="s">
        <v>543</v>
      </c>
      <c r="I8" t="s">
        <v>20</v>
      </c>
      <c r="J8" t="s">
        <v>20</v>
      </c>
      <c r="K8" t="s">
        <v>20</v>
      </c>
      <c r="L8" t="s">
        <v>20</v>
      </c>
      <c r="M8" t="s">
        <v>631</v>
      </c>
      <c r="N8" t="s">
        <v>20</v>
      </c>
      <c r="O8" t="s">
        <v>20</v>
      </c>
      <c r="P8" s="306" t="s">
        <v>900</v>
      </c>
      <c r="Q8" t="s">
        <v>20</v>
      </c>
      <c r="R8" t="s">
        <v>20</v>
      </c>
      <c r="S8" t="s">
        <v>20</v>
      </c>
      <c r="T8" s="306" t="s">
        <v>20</v>
      </c>
      <c r="U8" t="s">
        <v>20</v>
      </c>
      <c r="V8" t="s">
        <v>411</v>
      </c>
      <c r="W8" t="s">
        <v>20</v>
      </c>
      <c r="X8" t="s">
        <v>545</v>
      </c>
      <c r="Y8" t="s">
        <v>20</v>
      </c>
      <c r="Z8" t="s">
        <v>20</v>
      </c>
      <c r="AA8" t="s">
        <v>20</v>
      </c>
      <c r="AB8" t="s">
        <v>20</v>
      </c>
      <c r="AC8" t="s">
        <v>545</v>
      </c>
      <c r="AD8" t="s">
        <v>411</v>
      </c>
      <c r="AE8" t="s">
        <v>545</v>
      </c>
      <c r="AF8" t="s">
        <v>545</v>
      </c>
      <c r="AG8" t="s">
        <v>545</v>
      </c>
      <c r="AH8" t="s">
        <v>545</v>
      </c>
      <c r="AI8" t="s">
        <v>20</v>
      </c>
      <c r="AJ8" t="s">
        <v>411</v>
      </c>
      <c r="AK8" t="s">
        <v>20</v>
      </c>
      <c r="AL8" t="s">
        <v>20</v>
      </c>
      <c r="AM8" t="s">
        <v>411</v>
      </c>
      <c r="AN8" t="s">
        <v>411</v>
      </c>
      <c r="AO8" t="s">
        <v>411</v>
      </c>
      <c r="AP8" t="s">
        <v>411</v>
      </c>
      <c r="AQ8" t="s">
        <v>411</v>
      </c>
      <c r="AR8" t="s">
        <v>411</v>
      </c>
      <c r="AS8" s="306">
        <v>5</v>
      </c>
      <c r="AT8" t="s">
        <v>748</v>
      </c>
      <c r="AU8" t="s">
        <v>749</v>
      </c>
    </row>
    <row r="9" spans="1:48" x14ac:dyDescent="0.3">
      <c r="A9" s="306">
        <v>8</v>
      </c>
      <c r="B9" s="306" t="s">
        <v>663</v>
      </c>
      <c r="C9" s="306" t="s">
        <v>550</v>
      </c>
      <c r="D9" s="306" t="s">
        <v>656</v>
      </c>
      <c r="E9" s="306" t="s">
        <v>885</v>
      </c>
      <c r="F9" s="306" t="s">
        <v>886</v>
      </c>
      <c r="G9" s="306">
        <v>31</v>
      </c>
      <c r="H9" t="s">
        <v>543</v>
      </c>
      <c r="I9" t="s">
        <v>411</v>
      </c>
      <c r="J9" t="s">
        <v>20</v>
      </c>
      <c r="K9" t="s">
        <v>20</v>
      </c>
      <c r="L9" t="s">
        <v>20</v>
      </c>
      <c r="M9" t="s">
        <v>750</v>
      </c>
      <c r="N9" t="s">
        <v>20</v>
      </c>
      <c r="O9" t="s">
        <v>20</v>
      </c>
      <c r="P9" s="306" t="s">
        <v>859</v>
      </c>
      <c r="Q9" t="s">
        <v>20</v>
      </c>
      <c r="R9" t="s">
        <v>20</v>
      </c>
      <c r="S9" t="s">
        <v>20</v>
      </c>
      <c r="T9" s="306" t="s">
        <v>20</v>
      </c>
      <c r="U9" t="s">
        <v>20</v>
      </c>
      <c r="V9" t="s">
        <v>20</v>
      </c>
      <c r="W9" t="s">
        <v>20</v>
      </c>
      <c r="X9" t="s">
        <v>545</v>
      </c>
      <c r="Y9" t="s">
        <v>545</v>
      </c>
      <c r="Z9" t="s">
        <v>20</v>
      </c>
      <c r="AA9" t="s">
        <v>20</v>
      </c>
      <c r="AB9" t="s">
        <v>20</v>
      </c>
      <c r="AC9" t="s">
        <v>20</v>
      </c>
      <c r="AD9" t="s">
        <v>20</v>
      </c>
      <c r="AE9" t="s">
        <v>20</v>
      </c>
      <c r="AF9" t="s">
        <v>20</v>
      </c>
      <c r="AG9" t="s">
        <v>20</v>
      </c>
      <c r="AH9" t="s">
        <v>20</v>
      </c>
      <c r="AI9" t="s">
        <v>20</v>
      </c>
      <c r="AJ9" t="s">
        <v>20</v>
      </c>
      <c r="AK9" t="s">
        <v>20</v>
      </c>
      <c r="AL9" t="s">
        <v>20</v>
      </c>
      <c r="AM9" t="s">
        <v>20</v>
      </c>
      <c r="AN9" t="s">
        <v>20</v>
      </c>
      <c r="AO9" t="s">
        <v>20</v>
      </c>
      <c r="AP9" t="s">
        <v>20</v>
      </c>
      <c r="AQ9" t="s">
        <v>20</v>
      </c>
      <c r="AR9" t="s">
        <v>20</v>
      </c>
      <c r="AS9" s="306">
        <v>9</v>
      </c>
      <c r="AT9" t="s">
        <v>751</v>
      </c>
    </row>
    <row r="10" spans="1:48" x14ac:dyDescent="0.3">
      <c r="A10" s="306">
        <v>9</v>
      </c>
      <c r="B10" s="306" t="s">
        <v>520</v>
      </c>
      <c r="C10" s="306" t="s">
        <v>542</v>
      </c>
      <c r="D10" s="306" t="s">
        <v>671</v>
      </c>
      <c r="E10" s="306" t="s">
        <v>913</v>
      </c>
      <c r="F10" s="306" t="s">
        <v>914</v>
      </c>
      <c r="G10" s="306">
        <v>8</v>
      </c>
      <c r="H10" s="306" t="s">
        <v>543</v>
      </c>
      <c r="I10" t="s">
        <v>20</v>
      </c>
      <c r="J10" t="s">
        <v>20</v>
      </c>
      <c r="K10" t="s">
        <v>20</v>
      </c>
      <c r="L10" t="s">
        <v>20</v>
      </c>
      <c r="M10" t="s">
        <v>754</v>
      </c>
      <c r="N10" t="s">
        <v>411</v>
      </c>
      <c r="O10" t="s">
        <v>411</v>
      </c>
      <c r="P10" s="306" t="s">
        <v>901</v>
      </c>
      <c r="Q10" t="s">
        <v>20</v>
      </c>
      <c r="R10" t="s">
        <v>20</v>
      </c>
      <c r="S10" t="s">
        <v>20</v>
      </c>
      <c r="T10" s="306" t="s">
        <v>20</v>
      </c>
      <c r="U10" t="s">
        <v>411</v>
      </c>
      <c r="V10" t="s">
        <v>545</v>
      </c>
      <c r="W10" t="s">
        <v>545</v>
      </c>
      <c r="X10" t="s">
        <v>20</v>
      </c>
      <c r="Y10" t="s">
        <v>20</v>
      </c>
      <c r="Z10" t="s">
        <v>545</v>
      </c>
      <c r="AA10" t="s">
        <v>20</v>
      </c>
      <c r="AB10" t="s">
        <v>545</v>
      </c>
      <c r="AC10" t="s">
        <v>545</v>
      </c>
      <c r="AD10" t="s">
        <v>411</v>
      </c>
      <c r="AE10" t="s">
        <v>545</v>
      </c>
      <c r="AF10" t="s">
        <v>545</v>
      </c>
      <c r="AG10" t="s">
        <v>545</v>
      </c>
      <c r="AH10" t="s">
        <v>545</v>
      </c>
      <c r="AI10" t="s">
        <v>411</v>
      </c>
      <c r="AJ10" t="s">
        <v>411</v>
      </c>
      <c r="AK10" t="s">
        <v>411</v>
      </c>
      <c r="AL10" t="s">
        <v>411</v>
      </c>
      <c r="AM10" t="s">
        <v>411</v>
      </c>
      <c r="AN10" t="s">
        <v>411</v>
      </c>
      <c r="AO10" t="s">
        <v>411</v>
      </c>
      <c r="AP10" t="s">
        <v>411</v>
      </c>
      <c r="AQ10" t="s">
        <v>411</v>
      </c>
      <c r="AR10" t="s">
        <v>411</v>
      </c>
      <c r="AS10" s="306">
        <v>7</v>
      </c>
      <c r="AT10" t="s">
        <v>768</v>
      </c>
      <c r="AU10" t="s">
        <v>753</v>
      </c>
    </row>
    <row r="11" spans="1:48" ht="15" thickBot="1" x14ac:dyDescent="0.35">
      <c r="A11" s="306">
        <v>10</v>
      </c>
      <c r="B11" s="306" t="s">
        <v>508</v>
      </c>
      <c r="C11" s="306" t="s">
        <v>550</v>
      </c>
      <c r="D11" s="306" t="s">
        <v>672</v>
      </c>
      <c r="E11" s="306" t="s">
        <v>915</v>
      </c>
      <c r="F11" s="306" t="s">
        <v>916</v>
      </c>
      <c r="G11" s="306">
        <v>34</v>
      </c>
      <c r="H11" s="306" t="s">
        <v>543</v>
      </c>
      <c r="I11" t="s">
        <v>20</v>
      </c>
      <c r="J11" t="s">
        <v>20</v>
      </c>
      <c r="K11" t="s">
        <v>20</v>
      </c>
      <c r="L11" t="s">
        <v>20</v>
      </c>
      <c r="M11" t="s">
        <v>755</v>
      </c>
      <c r="N11" t="s">
        <v>411</v>
      </c>
      <c r="O11" t="s">
        <v>411</v>
      </c>
      <c r="P11" s="306" t="s">
        <v>644</v>
      </c>
      <c r="Q11" t="s">
        <v>20</v>
      </c>
      <c r="R11" t="s">
        <v>20</v>
      </c>
      <c r="S11" t="s">
        <v>20</v>
      </c>
      <c r="T11" s="306" t="s">
        <v>20</v>
      </c>
      <c r="U11" t="s">
        <v>20</v>
      </c>
      <c r="V11" t="s">
        <v>20</v>
      </c>
      <c r="W11" t="s">
        <v>20</v>
      </c>
      <c r="X11" t="s">
        <v>20</v>
      </c>
      <c r="Y11" t="s">
        <v>20</v>
      </c>
      <c r="Z11" t="s">
        <v>20</v>
      </c>
      <c r="AA11" t="s">
        <v>20</v>
      </c>
      <c r="AB11" t="s">
        <v>20</v>
      </c>
      <c r="AC11" t="s">
        <v>20</v>
      </c>
      <c r="AD11" t="s">
        <v>20</v>
      </c>
      <c r="AE11" t="s">
        <v>20</v>
      </c>
      <c r="AF11" t="s">
        <v>20</v>
      </c>
      <c r="AG11" t="s">
        <v>20</v>
      </c>
      <c r="AH11" t="s">
        <v>20</v>
      </c>
      <c r="AI11" t="s">
        <v>20</v>
      </c>
      <c r="AJ11" t="s">
        <v>20</v>
      </c>
      <c r="AK11" t="s">
        <v>20</v>
      </c>
      <c r="AL11" t="s">
        <v>20</v>
      </c>
      <c r="AM11" t="s">
        <v>20</v>
      </c>
      <c r="AN11" t="s">
        <v>20</v>
      </c>
      <c r="AO11" t="s">
        <v>20</v>
      </c>
      <c r="AP11" t="s">
        <v>20</v>
      </c>
      <c r="AQ11" t="s">
        <v>20</v>
      </c>
      <c r="AR11" t="s">
        <v>411</v>
      </c>
      <c r="AS11" s="306">
        <v>7</v>
      </c>
      <c r="AT11" t="s">
        <v>756</v>
      </c>
    </row>
    <row r="12" spans="1:48" ht="15" thickBot="1" x14ac:dyDescent="0.35">
      <c r="A12" s="306">
        <v>11</v>
      </c>
      <c r="B12" s="306" t="s">
        <v>512</v>
      </c>
      <c r="C12" s="306" t="s">
        <v>542</v>
      </c>
      <c r="D12" s="306" t="s">
        <v>674</v>
      </c>
      <c r="E12" s="306" t="s">
        <v>917</v>
      </c>
      <c r="F12" s="306" t="s">
        <v>918</v>
      </c>
      <c r="G12" s="306">
        <v>7</v>
      </c>
      <c r="H12" s="306" t="s">
        <v>543</v>
      </c>
      <c r="I12" t="s">
        <v>20</v>
      </c>
      <c r="J12" t="s">
        <v>20</v>
      </c>
      <c r="K12" t="s">
        <v>20</v>
      </c>
      <c r="L12" t="s">
        <v>20</v>
      </c>
      <c r="M12" t="s">
        <v>513</v>
      </c>
      <c r="N12" t="s">
        <v>20</v>
      </c>
      <c r="O12" t="s">
        <v>20</v>
      </c>
      <c r="P12" s="306" t="s">
        <v>602</v>
      </c>
      <c r="Q12" t="s">
        <v>20</v>
      </c>
      <c r="R12" t="s">
        <v>20</v>
      </c>
      <c r="S12" t="s">
        <v>411</v>
      </c>
      <c r="T12" t="s">
        <v>411</v>
      </c>
      <c r="U12" t="s">
        <v>411</v>
      </c>
      <c r="V12" t="s">
        <v>545</v>
      </c>
      <c r="W12" t="s">
        <v>545</v>
      </c>
      <c r="X12" t="s">
        <v>545</v>
      </c>
      <c r="Y12" t="s">
        <v>545</v>
      </c>
      <c r="Z12" t="s">
        <v>20</v>
      </c>
      <c r="AA12" t="s">
        <v>20</v>
      </c>
      <c r="AB12" t="s">
        <v>545</v>
      </c>
      <c r="AC12" t="s">
        <v>545</v>
      </c>
      <c r="AD12" t="s">
        <v>411</v>
      </c>
      <c r="AE12" t="s">
        <v>545</v>
      </c>
      <c r="AF12" t="s">
        <v>545</v>
      </c>
      <c r="AG12" t="s">
        <v>545</v>
      </c>
      <c r="AH12" t="s">
        <v>545</v>
      </c>
      <c r="AI12" t="s">
        <v>411</v>
      </c>
      <c r="AJ12" t="s">
        <v>411</v>
      </c>
      <c r="AK12" t="s">
        <v>20</v>
      </c>
      <c r="AL12" t="s">
        <v>411</v>
      </c>
      <c r="AM12" t="s">
        <v>411</v>
      </c>
      <c r="AN12" t="s">
        <v>411</v>
      </c>
      <c r="AO12" t="s">
        <v>20</v>
      </c>
      <c r="AP12" t="s">
        <v>411</v>
      </c>
      <c r="AQ12" t="s">
        <v>411</v>
      </c>
      <c r="AR12" t="s">
        <v>411</v>
      </c>
      <c r="AS12" s="306">
        <v>7</v>
      </c>
      <c r="AT12" t="s">
        <v>757</v>
      </c>
      <c r="AU12" t="s">
        <v>758</v>
      </c>
      <c r="AV12" s="312"/>
    </row>
    <row r="13" spans="1:48" ht="15" thickBot="1" x14ac:dyDescent="0.35">
      <c r="A13" s="306">
        <v>12</v>
      </c>
      <c r="B13" s="306" t="s">
        <v>551</v>
      </c>
      <c r="C13" s="306" t="s">
        <v>542</v>
      </c>
      <c r="D13" s="306" t="s">
        <v>671</v>
      </c>
      <c r="E13" s="306" t="s">
        <v>919</v>
      </c>
      <c r="F13" s="306" t="s">
        <v>910</v>
      </c>
      <c r="G13" s="306">
        <v>3</v>
      </c>
      <c r="H13" s="306" t="s">
        <v>543</v>
      </c>
      <c r="I13" s="306" t="s">
        <v>20</v>
      </c>
      <c r="J13" s="306" t="s">
        <v>20</v>
      </c>
      <c r="K13" s="306" t="s">
        <v>20</v>
      </c>
      <c r="L13" s="306" t="s">
        <v>20</v>
      </c>
      <c r="M13" s="306" t="s">
        <v>761</v>
      </c>
      <c r="N13" t="s">
        <v>411</v>
      </c>
      <c r="O13" t="s">
        <v>411</v>
      </c>
      <c r="P13" s="306" t="s">
        <v>564</v>
      </c>
      <c r="Q13" t="s">
        <v>20</v>
      </c>
      <c r="R13" t="s">
        <v>20</v>
      </c>
      <c r="S13" t="s">
        <v>20</v>
      </c>
      <c r="T13" t="s">
        <v>20</v>
      </c>
      <c r="U13" t="s">
        <v>20</v>
      </c>
      <c r="V13" t="s">
        <v>545</v>
      </c>
      <c r="W13" t="s">
        <v>545</v>
      </c>
      <c r="X13" t="s">
        <v>545</v>
      </c>
      <c r="Y13" t="s">
        <v>545</v>
      </c>
      <c r="Z13" t="s">
        <v>545</v>
      </c>
      <c r="AA13" t="s">
        <v>545</v>
      </c>
      <c r="AB13" t="s">
        <v>545</v>
      </c>
      <c r="AC13" t="s">
        <v>545</v>
      </c>
      <c r="AD13" t="s">
        <v>411</v>
      </c>
      <c r="AE13" t="s">
        <v>545</v>
      </c>
      <c r="AF13" t="s">
        <v>545</v>
      </c>
      <c r="AG13" t="s">
        <v>545</v>
      </c>
      <c r="AH13" t="s">
        <v>545</v>
      </c>
      <c r="AI13" t="s">
        <v>411</v>
      </c>
      <c r="AJ13" t="s">
        <v>411</v>
      </c>
      <c r="AK13" t="s">
        <v>411</v>
      </c>
      <c r="AL13" t="s">
        <v>411</v>
      </c>
      <c r="AM13" t="s">
        <v>411</v>
      </c>
      <c r="AN13" t="s">
        <v>411</v>
      </c>
      <c r="AO13" t="s">
        <v>411</v>
      </c>
      <c r="AP13" t="s">
        <v>411</v>
      </c>
      <c r="AQ13" t="s">
        <v>411</v>
      </c>
      <c r="AR13" t="s">
        <v>411</v>
      </c>
      <c r="AS13" s="306">
        <v>3</v>
      </c>
      <c r="AT13" t="s">
        <v>759</v>
      </c>
      <c r="AU13" t="s">
        <v>760</v>
      </c>
      <c r="AV13" s="312"/>
    </row>
    <row r="14" spans="1:48" x14ac:dyDescent="0.3">
      <c r="A14" s="306">
        <v>13</v>
      </c>
      <c r="B14" s="306" t="s">
        <v>675</v>
      </c>
      <c r="C14" s="306" t="s">
        <v>542</v>
      </c>
      <c r="D14" s="306" t="s">
        <v>674</v>
      </c>
      <c r="E14" s="306" t="s">
        <v>912</v>
      </c>
      <c r="F14" s="306" t="s">
        <v>885</v>
      </c>
      <c r="G14" s="306">
        <v>27</v>
      </c>
      <c r="H14" s="306" t="s">
        <v>543</v>
      </c>
      <c r="I14" s="306" t="s">
        <v>20</v>
      </c>
      <c r="J14" s="306" t="s">
        <v>20</v>
      </c>
      <c r="K14" s="306" t="s">
        <v>20</v>
      </c>
      <c r="L14" s="306" t="s">
        <v>20</v>
      </c>
      <c r="M14" s="306" t="s">
        <v>762</v>
      </c>
      <c r="N14" t="s">
        <v>411</v>
      </c>
      <c r="O14" t="s">
        <v>411</v>
      </c>
      <c r="P14" s="306" t="s">
        <v>644</v>
      </c>
      <c r="Q14" t="s">
        <v>20</v>
      </c>
      <c r="R14" t="s">
        <v>20</v>
      </c>
      <c r="S14" t="s">
        <v>20</v>
      </c>
      <c r="T14" t="s">
        <v>20</v>
      </c>
      <c r="U14" t="s">
        <v>20</v>
      </c>
      <c r="V14" t="s">
        <v>20</v>
      </c>
      <c r="W14" t="s">
        <v>20</v>
      </c>
      <c r="X14" t="s">
        <v>20</v>
      </c>
      <c r="Y14" t="s">
        <v>20</v>
      </c>
      <c r="Z14" t="s">
        <v>20</v>
      </c>
      <c r="AA14" t="s">
        <v>20</v>
      </c>
      <c r="AB14" t="s">
        <v>20</v>
      </c>
      <c r="AC14" t="s">
        <v>20</v>
      </c>
      <c r="AD14" t="s">
        <v>20</v>
      </c>
      <c r="AE14" t="s">
        <v>20</v>
      </c>
      <c r="AF14" t="s">
        <v>20</v>
      </c>
      <c r="AG14" t="s">
        <v>20</v>
      </c>
      <c r="AH14" t="s">
        <v>545</v>
      </c>
      <c r="AI14" t="s">
        <v>20</v>
      </c>
      <c r="AJ14" t="s">
        <v>411</v>
      </c>
      <c r="AK14" t="s">
        <v>411</v>
      </c>
      <c r="AL14" t="s">
        <v>20</v>
      </c>
      <c r="AM14" t="s">
        <v>411</v>
      </c>
      <c r="AN14" t="s">
        <v>411</v>
      </c>
      <c r="AO14" t="s">
        <v>411</v>
      </c>
      <c r="AP14" t="s">
        <v>20</v>
      </c>
      <c r="AQ14" t="s">
        <v>411</v>
      </c>
      <c r="AR14" t="s">
        <v>20</v>
      </c>
      <c r="AS14" s="306">
        <v>9</v>
      </c>
      <c r="AT14" t="s">
        <v>763</v>
      </c>
      <c r="AU14" t="s">
        <v>764</v>
      </c>
    </row>
    <row r="15" spans="1:48" x14ac:dyDescent="0.3">
      <c r="A15" s="306">
        <v>14</v>
      </c>
      <c r="B15" t="s">
        <v>664</v>
      </c>
      <c r="C15" s="306" t="s">
        <v>682</v>
      </c>
      <c r="D15" s="306" t="s">
        <v>680</v>
      </c>
      <c r="E15" s="306" t="s">
        <v>920</v>
      </c>
      <c r="F15" s="306" t="s">
        <v>921</v>
      </c>
      <c r="G15" s="306">
        <v>23</v>
      </c>
      <c r="H15" s="306" t="s">
        <v>543</v>
      </c>
      <c r="I15" s="306" t="s">
        <v>20</v>
      </c>
      <c r="J15" s="306" t="s">
        <v>20</v>
      </c>
      <c r="K15" s="306" t="s">
        <v>20</v>
      </c>
      <c r="L15" s="306" t="s">
        <v>20</v>
      </c>
      <c r="M15" s="306" t="s">
        <v>660</v>
      </c>
      <c r="N15" s="306" t="s">
        <v>20</v>
      </c>
      <c r="O15" s="306" t="s">
        <v>20</v>
      </c>
      <c r="P15" s="306" t="s">
        <v>902</v>
      </c>
      <c r="Q15" t="s">
        <v>411</v>
      </c>
      <c r="R15" t="s">
        <v>20</v>
      </c>
      <c r="S15" t="s">
        <v>20</v>
      </c>
      <c r="T15" t="s">
        <v>20</v>
      </c>
      <c r="U15" t="s">
        <v>20</v>
      </c>
      <c r="V15" t="s">
        <v>20</v>
      </c>
      <c r="W15" t="s">
        <v>20</v>
      </c>
      <c r="X15" t="s">
        <v>20</v>
      </c>
      <c r="Y15" t="s">
        <v>20</v>
      </c>
      <c r="Z15" t="s">
        <v>20</v>
      </c>
      <c r="AA15" t="s">
        <v>20</v>
      </c>
      <c r="AB15" t="s">
        <v>545</v>
      </c>
      <c r="AC15" t="s">
        <v>20</v>
      </c>
      <c r="AD15" t="s">
        <v>20</v>
      </c>
      <c r="AE15" t="s">
        <v>20</v>
      </c>
      <c r="AF15" t="s">
        <v>20</v>
      </c>
      <c r="AG15" t="s">
        <v>20</v>
      </c>
      <c r="AH15" t="s">
        <v>20</v>
      </c>
      <c r="AI15" t="s">
        <v>411</v>
      </c>
      <c r="AJ15" t="s">
        <v>411</v>
      </c>
      <c r="AK15" t="s">
        <v>20</v>
      </c>
      <c r="AL15" t="s">
        <v>411</v>
      </c>
      <c r="AM15" t="s">
        <v>411</v>
      </c>
      <c r="AN15" t="s">
        <v>20</v>
      </c>
      <c r="AO15" t="s">
        <v>20</v>
      </c>
      <c r="AP15" t="s">
        <v>20</v>
      </c>
      <c r="AQ15" t="s">
        <v>20</v>
      </c>
      <c r="AR15" t="s">
        <v>411</v>
      </c>
      <c r="AS15" s="306">
        <v>9</v>
      </c>
      <c r="AT15" t="s">
        <v>765</v>
      </c>
      <c r="AU15" t="s">
        <v>766</v>
      </c>
    </row>
    <row r="16" spans="1:48" x14ac:dyDescent="0.3">
      <c r="A16" s="306">
        <v>15</v>
      </c>
      <c r="B16" t="s">
        <v>665</v>
      </c>
      <c r="C16" s="306" t="s">
        <v>683</v>
      </c>
      <c r="D16" s="306" t="s">
        <v>671</v>
      </c>
      <c r="E16" s="306" t="s">
        <v>922</v>
      </c>
      <c r="F16" s="306" t="s">
        <v>923</v>
      </c>
      <c r="G16" s="306">
        <v>13</v>
      </c>
      <c r="H16" s="306" t="s">
        <v>543</v>
      </c>
      <c r="I16" s="306" t="s">
        <v>20</v>
      </c>
      <c r="J16" s="306" t="s">
        <v>20</v>
      </c>
      <c r="K16" s="306" t="s">
        <v>20</v>
      </c>
      <c r="L16" s="306" t="s">
        <v>20</v>
      </c>
      <c r="M16" s="306" t="s">
        <v>762</v>
      </c>
      <c r="N16" t="s">
        <v>411</v>
      </c>
      <c r="O16" t="s">
        <v>411</v>
      </c>
      <c r="P16" s="306" t="s">
        <v>901</v>
      </c>
      <c r="Q16" t="s">
        <v>20</v>
      </c>
      <c r="R16" t="s">
        <v>20</v>
      </c>
      <c r="S16" t="s">
        <v>20</v>
      </c>
      <c r="T16" t="s">
        <v>20</v>
      </c>
      <c r="U16" t="s">
        <v>20</v>
      </c>
      <c r="V16" t="s">
        <v>20</v>
      </c>
      <c r="W16" t="s">
        <v>20</v>
      </c>
      <c r="X16" t="s">
        <v>20</v>
      </c>
      <c r="Y16" t="s">
        <v>20</v>
      </c>
      <c r="Z16" t="s">
        <v>20</v>
      </c>
      <c r="AA16" t="s">
        <v>20</v>
      </c>
      <c r="AB16" t="s">
        <v>545</v>
      </c>
      <c r="AC16" t="s">
        <v>20</v>
      </c>
      <c r="AD16" t="s">
        <v>20</v>
      </c>
      <c r="AE16" t="s">
        <v>20</v>
      </c>
      <c r="AF16" t="s">
        <v>20</v>
      </c>
      <c r="AG16" t="s">
        <v>20</v>
      </c>
      <c r="AH16" t="s">
        <v>20</v>
      </c>
      <c r="AI16" t="s">
        <v>20</v>
      </c>
      <c r="AJ16" t="s">
        <v>20</v>
      </c>
      <c r="AK16" t="s">
        <v>20</v>
      </c>
      <c r="AL16" t="s">
        <v>411</v>
      </c>
      <c r="AM16" t="s">
        <v>411</v>
      </c>
      <c r="AN16" t="s">
        <v>20</v>
      </c>
      <c r="AO16" t="s">
        <v>20</v>
      </c>
      <c r="AP16" t="s">
        <v>20</v>
      </c>
      <c r="AQ16" t="s">
        <v>411</v>
      </c>
      <c r="AR16" t="s">
        <v>20</v>
      </c>
      <c r="AS16" s="306">
        <v>9</v>
      </c>
      <c r="AT16" t="s">
        <v>767</v>
      </c>
    </row>
    <row r="17" spans="1:48" x14ac:dyDescent="0.3">
      <c r="A17" s="306">
        <v>16</v>
      </c>
      <c r="B17" s="306" t="s">
        <v>504</v>
      </c>
      <c r="C17" s="306" t="s">
        <v>779</v>
      </c>
      <c r="D17" s="306" t="s">
        <v>783</v>
      </c>
      <c r="E17" s="306" t="s">
        <v>924</v>
      </c>
      <c r="F17" s="306" t="s">
        <v>925</v>
      </c>
      <c r="G17" s="306">
        <v>6</v>
      </c>
      <c r="H17" s="306" t="s">
        <v>543</v>
      </c>
      <c r="I17" s="306" t="s">
        <v>411</v>
      </c>
      <c r="J17" s="306" t="s">
        <v>411</v>
      </c>
      <c r="K17" s="306" t="s">
        <v>20</v>
      </c>
      <c r="L17" s="306" t="s">
        <v>411</v>
      </c>
      <c r="M17" s="306" t="s">
        <v>501</v>
      </c>
      <c r="N17" s="306" t="s">
        <v>20</v>
      </c>
      <c r="O17" s="306" t="s">
        <v>411</v>
      </c>
      <c r="P17" s="306" t="s">
        <v>903</v>
      </c>
      <c r="Q17" s="306" t="s">
        <v>20</v>
      </c>
      <c r="R17" s="306" t="s">
        <v>20</v>
      </c>
      <c r="S17" s="306" t="s">
        <v>20</v>
      </c>
      <c r="T17" s="306" t="s">
        <v>20</v>
      </c>
      <c r="U17" s="306" t="s">
        <v>20</v>
      </c>
      <c r="V17" s="306" t="s">
        <v>545</v>
      </c>
      <c r="W17" s="306" t="s">
        <v>20</v>
      </c>
      <c r="X17" s="306" t="s">
        <v>20</v>
      </c>
      <c r="Y17" s="306" t="s">
        <v>545</v>
      </c>
      <c r="Z17" s="306" t="s">
        <v>20</v>
      </c>
      <c r="AA17" s="306" t="s">
        <v>20</v>
      </c>
      <c r="AB17" s="306" t="s">
        <v>545</v>
      </c>
      <c r="AC17" s="306" t="s">
        <v>20</v>
      </c>
      <c r="AD17" s="306" t="s">
        <v>20</v>
      </c>
      <c r="AE17" s="306" t="s">
        <v>20</v>
      </c>
      <c r="AF17" s="306" t="s">
        <v>20</v>
      </c>
      <c r="AG17" s="306" t="s">
        <v>20</v>
      </c>
      <c r="AH17" s="306" t="s">
        <v>545</v>
      </c>
      <c r="AI17" s="306" t="s">
        <v>411</v>
      </c>
      <c r="AJ17" s="306" t="s">
        <v>411</v>
      </c>
      <c r="AK17" s="306" t="s">
        <v>20</v>
      </c>
      <c r="AL17" s="306" t="s">
        <v>20</v>
      </c>
      <c r="AM17" s="306" t="s">
        <v>411</v>
      </c>
      <c r="AN17" s="306" t="s">
        <v>411</v>
      </c>
      <c r="AO17" s="306" t="s">
        <v>20</v>
      </c>
      <c r="AP17" s="306" t="s">
        <v>20</v>
      </c>
      <c r="AQ17" s="306" t="s">
        <v>411</v>
      </c>
      <c r="AR17" s="306" t="s">
        <v>411</v>
      </c>
      <c r="AS17" s="306">
        <v>8</v>
      </c>
      <c r="AT17" s="306" t="s">
        <v>792</v>
      </c>
      <c r="AU17" s="306"/>
      <c r="AV17" s="306"/>
    </row>
    <row r="18" spans="1:48" x14ac:dyDescent="0.3">
      <c r="A18" s="306">
        <v>17</v>
      </c>
      <c r="B18" s="306" t="s">
        <v>790</v>
      </c>
      <c r="C18" s="306" t="s">
        <v>791</v>
      </c>
      <c r="D18" s="306" t="s">
        <v>783</v>
      </c>
      <c r="E18" s="306" t="s">
        <v>926</v>
      </c>
      <c r="F18" s="306" t="s">
        <v>842</v>
      </c>
      <c r="G18" s="306">
        <v>28</v>
      </c>
      <c r="H18" s="306" t="s">
        <v>543</v>
      </c>
      <c r="I18" s="306" t="s">
        <v>20</v>
      </c>
      <c r="J18" s="306" t="s">
        <v>20</v>
      </c>
      <c r="K18" s="306" t="s">
        <v>20</v>
      </c>
      <c r="L18" s="306" t="s">
        <v>20</v>
      </c>
      <c r="M18" s="306" t="s">
        <v>501</v>
      </c>
      <c r="N18" s="306" t="s">
        <v>20</v>
      </c>
      <c r="O18" s="306" t="s">
        <v>411</v>
      </c>
      <c r="P18" s="306" t="s">
        <v>904</v>
      </c>
      <c r="Q18" s="306" t="s">
        <v>20</v>
      </c>
      <c r="R18" s="306" t="s">
        <v>411</v>
      </c>
      <c r="S18" s="306" t="s">
        <v>411</v>
      </c>
      <c r="T18" s="306" t="s">
        <v>411</v>
      </c>
      <c r="U18" s="306" t="s">
        <v>20</v>
      </c>
      <c r="V18" s="306" t="s">
        <v>20</v>
      </c>
      <c r="W18" s="306" t="s">
        <v>545</v>
      </c>
      <c r="X18" s="306" t="s">
        <v>20</v>
      </c>
      <c r="Y18" s="306" t="s">
        <v>20</v>
      </c>
      <c r="Z18" s="306" t="s">
        <v>545</v>
      </c>
      <c r="AA18" s="306" t="s">
        <v>20</v>
      </c>
      <c r="AB18" s="306" t="s">
        <v>545</v>
      </c>
      <c r="AC18" s="306" t="s">
        <v>545</v>
      </c>
      <c r="AD18" s="306" t="s">
        <v>20</v>
      </c>
      <c r="AE18" s="306" t="s">
        <v>545</v>
      </c>
      <c r="AF18" s="306" t="s">
        <v>20</v>
      </c>
      <c r="AG18" s="306" t="s">
        <v>20</v>
      </c>
      <c r="AH18" s="306" t="s">
        <v>545</v>
      </c>
      <c r="AI18" s="306" t="s">
        <v>411</v>
      </c>
      <c r="AJ18" s="306" t="s">
        <v>411</v>
      </c>
      <c r="AK18" s="306" t="s">
        <v>411</v>
      </c>
      <c r="AL18" s="306" t="s">
        <v>20</v>
      </c>
      <c r="AM18" s="306" t="s">
        <v>411</v>
      </c>
      <c r="AN18" s="306" t="s">
        <v>411</v>
      </c>
      <c r="AO18" s="306" t="s">
        <v>411</v>
      </c>
      <c r="AP18" s="306" t="s">
        <v>20</v>
      </c>
      <c r="AQ18" s="306" t="s">
        <v>20</v>
      </c>
      <c r="AR18" s="306" t="s">
        <v>411</v>
      </c>
      <c r="AS18" s="306">
        <v>9</v>
      </c>
      <c r="AT18" s="306"/>
      <c r="AU18" s="306"/>
    </row>
    <row r="19" spans="1:48" x14ac:dyDescent="0.3">
      <c r="A19" s="306">
        <v>19</v>
      </c>
    </row>
    <row r="20" spans="1:48" x14ac:dyDescent="0.3">
      <c r="A20" s="306">
        <v>20</v>
      </c>
    </row>
    <row r="21" spans="1:48" x14ac:dyDescent="0.3">
      <c r="A21" s="306">
        <v>21</v>
      </c>
    </row>
    <row r="22" spans="1:48" x14ac:dyDescent="0.3">
      <c r="A22" s="306">
        <v>22</v>
      </c>
    </row>
    <row r="23" spans="1:48" x14ac:dyDescent="0.3">
      <c r="A23" s="306">
        <v>23</v>
      </c>
    </row>
  </sheetData>
  <pageMargins left="0.7" right="0.7" top="0.75" bottom="0.75" header="0.3" footer="0.3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AA53C-6CF8-4A11-B63C-D2BDBD73A467}">
  <sheetPr>
    <tabColor rgb="FFFF99CC"/>
  </sheetPr>
  <dimension ref="A1:BB16"/>
  <sheetViews>
    <sheetView zoomScale="75" zoomScaleNormal="75" workbookViewId="0">
      <selection activeCell="O30" sqref="O30"/>
    </sheetView>
  </sheetViews>
  <sheetFormatPr defaultRowHeight="14.4" x14ac:dyDescent="0.3"/>
  <sheetData>
    <row r="1" spans="1:54" ht="88.5" customHeight="1" x14ac:dyDescent="0.3">
      <c r="A1" s="299" t="s">
        <v>451</v>
      </c>
      <c r="B1" s="299" t="s">
        <v>452</v>
      </c>
      <c r="C1" s="299" t="s">
        <v>453</v>
      </c>
      <c r="D1" s="300" t="s">
        <v>454</v>
      </c>
      <c r="E1" s="301" t="s">
        <v>455</v>
      </c>
      <c r="F1" s="301" t="s">
        <v>456</v>
      </c>
      <c r="G1" s="300" t="s">
        <v>457</v>
      </c>
      <c r="H1" s="300" t="s">
        <v>458</v>
      </c>
      <c r="I1" s="299" t="s">
        <v>459</v>
      </c>
      <c r="J1" s="299" t="s">
        <v>460</v>
      </c>
      <c r="K1" s="299" t="s">
        <v>461</v>
      </c>
      <c r="L1" s="299" t="s">
        <v>462</v>
      </c>
      <c r="M1" s="299" t="s">
        <v>463</v>
      </c>
      <c r="N1" s="299" t="s">
        <v>393</v>
      </c>
      <c r="O1" s="299" t="s">
        <v>464</v>
      </c>
      <c r="P1" s="299" t="s">
        <v>558</v>
      </c>
      <c r="Q1" s="299" t="s">
        <v>402</v>
      </c>
      <c r="R1" s="299" t="s">
        <v>403</v>
      </c>
      <c r="S1" s="299" t="s">
        <v>404</v>
      </c>
      <c r="T1" s="299" t="s">
        <v>344</v>
      </c>
      <c r="U1" s="299" t="s">
        <v>345</v>
      </c>
      <c r="V1" s="299" t="s">
        <v>346</v>
      </c>
      <c r="W1" s="299" t="s">
        <v>312</v>
      </c>
      <c r="X1" s="299" t="s">
        <v>36</v>
      </c>
      <c r="Y1" s="299" t="s">
        <v>37</v>
      </c>
      <c r="Z1" s="299" t="s">
        <v>38</v>
      </c>
      <c r="AA1" s="299" t="s">
        <v>40</v>
      </c>
      <c r="AB1" s="299" t="s">
        <v>547</v>
      </c>
      <c r="AC1" s="299" t="s">
        <v>278</v>
      </c>
      <c r="AD1" s="299" t="s">
        <v>405</v>
      </c>
      <c r="AE1" s="299" t="s">
        <v>428</v>
      </c>
      <c r="AF1" s="299" t="s">
        <v>446</v>
      </c>
      <c r="AG1" s="299" t="s">
        <v>430</v>
      </c>
      <c r="AH1" s="299" t="s">
        <v>45</v>
      </c>
      <c r="AI1" s="299" t="s">
        <v>431</v>
      </c>
      <c r="AJ1" s="299" t="s">
        <v>432</v>
      </c>
      <c r="AK1" s="299" t="s">
        <v>273</v>
      </c>
      <c r="AL1" s="299" t="s">
        <v>328</v>
      </c>
      <c r="AM1" s="299" t="s">
        <v>356</v>
      </c>
      <c r="AN1" s="299" t="s">
        <v>438</v>
      </c>
      <c r="AO1" s="299" t="s">
        <v>372</v>
      </c>
      <c r="AP1" s="299" t="s">
        <v>353</v>
      </c>
      <c r="AQ1" s="299" t="s">
        <v>360</v>
      </c>
      <c r="AR1" s="299" t="s">
        <v>361</v>
      </c>
      <c r="AS1" s="299" t="s">
        <v>362</v>
      </c>
      <c r="AT1" s="299" t="s">
        <v>449</v>
      </c>
      <c r="AU1" s="299" t="s">
        <v>448</v>
      </c>
      <c r="AV1" s="299" t="s">
        <v>414</v>
      </c>
      <c r="AW1" s="299" t="s">
        <v>450</v>
      </c>
      <c r="AX1" s="303" t="s">
        <v>494</v>
      </c>
      <c r="AY1" s="299" t="s">
        <v>59</v>
      </c>
      <c r="AZ1" s="299" t="s">
        <v>60</v>
      </c>
      <c r="BA1" s="299"/>
      <c r="BB1" s="299"/>
    </row>
    <row r="2" spans="1:54" x14ac:dyDescent="0.3">
      <c r="A2" s="306">
        <v>1</v>
      </c>
      <c r="B2" t="s">
        <v>664</v>
      </c>
      <c r="C2" s="306" t="s">
        <v>666</v>
      </c>
      <c r="D2" s="306" t="s">
        <v>667</v>
      </c>
      <c r="E2" s="306" t="s">
        <v>927</v>
      </c>
      <c r="F2" s="306" t="s">
        <v>928</v>
      </c>
      <c r="G2">
        <v>15</v>
      </c>
      <c r="H2" s="306" t="s">
        <v>668</v>
      </c>
      <c r="I2" t="s">
        <v>20</v>
      </c>
      <c r="J2" t="s">
        <v>20</v>
      </c>
      <c r="K2" t="s">
        <v>20</v>
      </c>
      <c r="L2" t="s">
        <v>20</v>
      </c>
      <c r="M2" t="s">
        <v>669</v>
      </c>
      <c r="N2" t="s">
        <v>20</v>
      </c>
      <c r="O2" t="s">
        <v>20</v>
      </c>
      <c r="P2" t="s">
        <v>852</v>
      </c>
      <c r="Q2" t="s">
        <v>411</v>
      </c>
      <c r="R2" t="s">
        <v>411</v>
      </c>
      <c r="S2" t="s">
        <v>20</v>
      </c>
      <c r="T2" t="s">
        <v>20</v>
      </c>
      <c r="U2" t="s">
        <v>20</v>
      </c>
      <c r="V2" t="s">
        <v>20</v>
      </c>
      <c r="W2" t="s">
        <v>20</v>
      </c>
      <c r="X2" t="s">
        <v>411</v>
      </c>
      <c r="Y2" t="s">
        <v>411</v>
      </c>
      <c r="Z2" t="s">
        <v>411</v>
      </c>
      <c r="AA2" t="s">
        <v>411</v>
      </c>
      <c r="AB2" t="s">
        <v>20</v>
      </c>
      <c r="AC2" t="s">
        <v>411</v>
      </c>
      <c r="AD2" t="s">
        <v>411</v>
      </c>
      <c r="AE2" t="s">
        <v>411</v>
      </c>
      <c r="AF2" t="s">
        <v>20</v>
      </c>
      <c r="AG2" t="s">
        <v>411</v>
      </c>
      <c r="AH2" t="s">
        <v>411</v>
      </c>
      <c r="AI2" t="s">
        <v>411</v>
      </c>
      <c r="AJ2" t="s">
        <v>411</v>
      </c>
      <c r="AK2" t="s">
        <v>411</v>
      </c>
      <c r="AL2" t="s">
        <v>411</v>
      </c>
      <c r="AM2" t="s">
        <v>411</v>
      </c>
      <c r="AN2" t="s">
        <v>20</v>
      </c>
      <c r="AO2" t="s">
        <v>411</v>
      </c>
      <c r="AP2" t="s">
        <v>411</v>
      </c>
      <c r="AQ2" t="s">
        <v>411</v>
      </c>
      <c r="AR2" t="s">
        <v>411</v>
      </c>
      <c r="AS2" t="s">
        <v>411</v>
      </c>
      <c r="AT2" t="s">
        <v>20</v>
      </c>
      <c r="AU2" t="s">
        <v>20</v>
      </c>
      <c r="AV2" t="s">
        <v>20</v>
      </c>
      <c r="AW2" t="s">
        <v>411</v>
      </c>
      <c r="AX2">
        <v>7</v>
      </c>
      <c r="AY2" t="s">
        <v>769</v>
      </c>
      <c r="AZ2" t="s">
        <v>770</v>
      </c>
    </row>
    <row r="3" spans="1:54" x14ac:dyDescent="0.3">
      <c r="A3" s="306">
        <v>2</v>
      </c>
      <c r="B3" t="s">
        <v>665</v>
      </c>
      <c r="C3" s="306" t="s">
        <v>666</v>
      </c>
      <c r="D3" s="306" t="s">
        <v>658</v>
      </c>
      <c r="E3" s="306" t="s">
        <v>929</v>
      </c>
      <c r="F3" s="306" t="s">
        <v>869</v>
      </c>
      <c r="G3">
        <v>9</v>
      </c>
      <c r="H3" s="306" t="s">
        <v>668</v>
      </c>
      <c r="I3" t="s">
        <v>20</v>
      </c>
      <c r="J3" t="s">
        <v>20</v>
      </c>
      <c r="K3" t="s">
        <v>20</v>
      </c>
      <c r="L3" t="s">
        <v>20</v>
      </c>
      <c r="M3" t="s">
        <v>660</v>
      </c>
      <c r="N3" t="s">
        <v>20</v>
      </c>
      <c r="O3" t="s">
        <v>411</v>
      </c>
      <c r="Q3" t="s">
        <v>20</v>
      </c>
      <c r="R3" t="s">
        <v>20</v>
      </c>
      <c r="S3" t="s">
        <v>20</v>
      </c>
      <c r="T3" t="s">
        <v>20</v>
      </c>
      <c r="U3" t="s">
        <v>20</v>
      </c>
      <c r="V3" t="s">
        <v>20</v>
      </c>
      <c r="W3" t="s">
        <v>20</v>
      </c>
      <c r="X3" t="s">
        <v>411</v>
      </c>
      <c r="Y3" t="s">
        <v>411</v>
      </c>
      <c r="Z3" t="s">
        <v>411</v>
      </c>
      <c r="AA3" t="s">
        <v>20</v>
      </c>
      <c r="AB3" t="s">
        <v>20</v>
      </c>
      <c r="AC3" t="s">
        <v>20</v>
      </c>
      <c r="AD3" t="s">
        <v>20</v>
      </c>
      <c r="AE3" t="s">
        <v>20</v>
      </c>
      <c r="AF3" t="s">
        <v>20</v>
      </c>
      <c r="AG3" t="s">
        <v>20</v>
      </c>
      <c r="AH3" t="s">
        <v>20</v>
      </c>
      <c r="AI3" t="s">
        <v>20</v>
      </c>
      <c r="AJ3" t="s">
        <v>20</v>
      </c>
      <c r="AK3" t="s">
        <v>20</v>
      </c>
      <c r="AL3" t="s">
        <v>20</v>
      </c>
      <c r="AM3" t="s">
        <v>20</v>
      </c>
      <c r="AN3" t="s">
        <v>20</v>
      </c>
      <c r="AO3" t="s">
        <v>411</v>
      </c>
      <c r="AP3" t="s">
        <v>411</v>
      </c>
      <c r="AQ3" t="s">
        <v>411</v>
      </c>
      <c r="AR3" t="s">
        <v>411</v>
      </c>
      <c r="AS3" t="s">
        <v>411</v>
      </c>
      <c r="AT3" t="s">
        <v>20</v>
      </c>
      <c r="AU3" t="s">
        <v>20</v>
      </c>
      <c r="AV3" t="s">
        <v>20</v>
      </c>
      <c r="AW3" t="s">
        <v>411</v>
      </c>
      <c r="AX3">
        <v>9</v>
      </c>
      <c r="AY3" t="s">
        <v>771</v>
      </c>
      <c r="AZ3" t="s">
        <v>772</v>
      </c>
    </row>
    <row r="4" spans="1:54" x14ac:dyDescent="0.3">
      <c r="A4" s="306">
        <v>3</v>
      </c>
      <c r="B4" s="306" t="s">
        <v>508</v>
      </c>
      <c r="C4" s="306" t="s">
        <v>542</v>
      </c>
      <c r="D4" s="306" t="s">
        <v>673</v>
      </c>
      <c r="E4" s="306" t="s">
        <v>930</v>
      </c>
      <c r="F4" s="306" t="s">
        <v>931</v>
      </c>
      <c r="G4">
        <v>11</v>
      </c>
      <c r="H4" t="s">
        <v>668</v>
      </c>
      <c r="I4" t="s">
        <v>20</v>
      </c>
      <c r="J4" t="s">
        <v>20</v>
      </c>
      <c r="K4" t="s">
        <v>20</v>
      </c>
      <c r="L4" t="s">
        <v>20</v>
      </c>
      <c r="M4" t="s">
        <v>740</v>
      </c>
      <c r="N4" t="s">
        <v>411</v>
      </c>
      <c r="O4" t="s">
        <v>411</v>
      </c>
      <c r="Q4" t="s">
        <v>20</v>
      </c>
      <c r="R4" t="s">
        <v>20</v>
      </c>
      <c r="S4" t="s">
        <v>20</v>
      </c>
      <c r="T4" t="s">
        <v>20</v>
      </c>
      <c r="U4" t="s">
        <v>411</v>
      </c>
      <c r="V4" t="s">
        <v>20</v>
      </c>
      <c r="W4" t="s">
        <v>411</v>
      </c>
      <c r="X4" t="s">
        <v>411</v>
      </c>
      <c r="Y4" t="s">
        <v>411</v>
      </c>
      <c r="Z4" t="s">
        <v>411</v>
      </c>
      <c r="AA4" t="s">
        <v>411</v>
      </c>
      <c r="AB4" t="s">
        <v>411</v>
      </c>
      <c r="AC4" t="s">
        <v>411</v>
      </c>
      <c r="AD4" t="s">
        <v>20</v>
      </c>
      <c r="AE4" t="s">
        <v>20</v>
      </c>
      <c r="AF4" t="s">
        <v>20</v>
      </c>
      <c r="AG4" t="s">
        <v>20</v>
      </c>
      <c r="AH4" t="s">
        <v>411</v>
      </c>
      <c r="AI4" t="s">
        <v>20</v>
      </c>
      <c r="AJ4" t="s">
        <v>411</v>
      </c>
      <c r="AK4" t="s">
        <v>411</v>
      </c>
      <c r="AL4" t="s">
        <v>411</v>
      </c>
      <c r="AM4" t="s">
        <v>411</v>
      </c>
      <c r="AN4" t="s">
        <v>411</v>
      </c>
      <c r="AO4" t="s">
        <v>20</v>
      </c>
      <c r="AP4" t="s">
        <v>411</v>
      </c>
      <c r="AQ4" t="s">
        <v>411</v>
      </c>
      <c r="AR4" t="s">
        <v>411</v>
      </c>
      <c r="AS4" t="s">
        <v>411</v>
      </c>
      <c r="AT4" t="s">
        <v>20</v>
      </c>
      <c r="AU4" t="s">
        <v>411</v>
      </c>
      <c r="AV4" t="s">
        <v>20</v>
      </c>
      <c r="AW4" t="s">
        <v>411</v>
      </c>
      <c r="AX4">
        <v>7</v>
      </c>
      <c r="AY4" t="s">
        <v>773</v>
      </c>
      <c r="AZ4" t="s">
        <v>774</v>
      </c>
    </row>
    <row r="5" spans="1:54" x14ac:dyDescent="0.3">
      <c r="A5" s="306">
        <v>4</v>
      </c>
      <c r="B5" t="s">
        <v>684</v>
      </c>
      <c r="C5" t="s">
        <v>666</v>
      </c>
      <c r="D5" t="s">
        <v>680</v>
      </c>
      <c r="E5" s="306" t="s">
        <v>932</v>
      </c>
      <c r="F5" s="306" t="s">
        <v>933</v>
      </c>
      <c r="G5">
        <v>18</v>
      </c>
      <c r="H5" t="s">
        <v>668</v>
      </c>
      <c r="I5" t="s">
        <v>20</v>
      </c>
      <c r="J5" t="s">
        <v>20</v>
      </c>
      <c r="K5" t="s">
        <v>20</v>
      </c>
      <c r="L5" t="s">
        <v>20</v>
      </c>
      <c r="M5" t="s">
        <v>697</v>
      </c>
      <c r="N5" t="s">
        <v>20</v>
      </c>
      <c r="O5" t="s">
        <v>411</v>
      </c>
      <c r="Q5" t="s">
        <v>20</v>
      </c>
      <c r="R5" t="s">
        <v>20</v>
      </c>
      <c r="S5" t="s">
        <v>411</v>
      </c>
      <c r="T5" t="s">
        <v>20</v>
      </c>
      <c r="U5" t="s">
        <v>20</v>
      </c>
      <c r="V5" t="s">
        <v>20</v>
      </c>
      <c r="W5" t="s">
        <v>20</v>
      </c>
      <c r="X5" t="s">
        <v>411</v>
      </c>
      <c r="Y5" t="s">
        <v>20</v>
      </c>
      <c r="Z5" t="s">
        <v>411</v>
      </c>
      <c r="AA5" t="s">
        <v>20</v>
      </c>
      <c r="AB5" t="s">
        <v>20</v>
      </c>
      <c r="AC5" t="s">
        <v>20</v>
      </c>
      <c r="AD5" t="s">
        <v>20</v>
      </c>
      <c r="AE5" t="s">
        <v>20</v>
      </c>
      <c r="AF5" t="s">
        <v>20</v>
      </c>
      <c r="AG5" t="s">
        <v>20</v>
      </c>
      <c r="AH5" t="s">
        <v>20</v>
      </c>
      <c r="AI5" t="s">
        <v>20</v>
      </c>
      <c r="AJ5" t="s">
        <v>20</v>
      </c>
      <c r="AK5" t="s">
        <v>20</v>
      </c>
      <c r="AL5" t="s">
        <v>20</v>
      </c>
      <c r="AM5" t="s">
        <v>20</v>
      </c>
      <c r="AN5" t="s">
        <v>20</v>
      </c>
      <c r="AO5" t="s">
        <v>20</v>
      </c>
      <c r="AP5" t="s">
        <v>20</v>
      </c>
      <c r="AQ5" t="s">
        <v>20</v>
      </c>
      <c r="AR5" t="s">
        <v>20</v>
      </c>
      <c r="AS5" t="s">
        <v>20</v>
      </c>
      <c r="AT5" t="s">
        <v>20</v>
      </c>
      <c r="AU5" t="s">
        <v>20</v>
      </c>
      <c r="AV5" s="306" t="s">
        <v>20</v>
      </c>
      <c r="AW5" t="s">
        <v>20</v>
      </c>
      <c r="AX5">
        <v>9</v>
      </c>
      <c r="AY5" t="s">
        <v>775</v>
      </c>
      <c r="AZ5" t="s">
        <v>776</v>
      </c>
    </row>
    <row r="6" spans="1:54" x14ac:dyDescent="0.3">
      <c r="A6" s="306">
        <v>5</v>
      </c>
      <c r="B6" t="s">
        <v>504</v>
      </c>
      <c r="C6" t="s">
        <v>542</v>
      </c>
      <c r="D6" t="s">
        <v>689</v>
      </c>
      <c r="E6" s="306" t="s">
        <v>934</v>
      </c>
      <c r="F6" s="306" t="s">
        <v>935</v>
      </c>
      <c r="G6">
        <v>6</v>
      </c>
      <c r="H6" t="s">
        <v>668</v>
      </c>
      <c r="I6" t="s">
        <v>20</v>
      </c>
      <c r="J6" t="s">
        <v>20</v>
      </c>
      <c r="K6" t="s">
        <v>20</v>
      </c>
      <c r="L6" t="s">
        <v>20</v>
      </c>
      <c r="M6" t="s">
        <v>704</v>
      </c>
      <c r="N6" t="s">
        <v>411</v>
      </c>
      <c r="O6" t="s">
        <v>411</v>
      </c>
      <c r="Q6" t="s">
        <v>20</v>
      </c>
      <c r="R6" t="s">
        <v>20</v>
      </c>
      <c r="S6" t="s">
        <v>20</v>
      </c>
      <c r="T6" t="s">
        <v>20</v>
      </c>
      <c r="U6" t="s">
        <v>20</v>
      </c>
      <c r="V6" t="s">
        <v>20</v>
      </c>
      <c r="W6" t="s">
        <v>411</v>
      </c>
      <c r="X6" t="s">
        <v>411</v>
      </c>
      <c r="Y6" t="s">
        <v>411</v>
      </c>
      <c r="Z6" t="s">
        <v>411</v>
      </c>
      <c r="AA6" t="s">
        <v>411</v>
      </c>
      <c r="AB6" t="s">
        <v>411</v>
      </c>
      <c r="AC6" t="s">
        <v>411</v>
      </c>
      <c r="AD6" t="s">
        <v>20</v>
      </c>
      <c r="AE6" t="s">
        <v>20</v>
      </c>
      <c r="AF6" t="s">
        <v>20</v>
      </c>
      <c r="AG6" t="s">
        <v>20</v>
      </c>
      <c r="AH6" t="s">
        <v>411</v>
      </c>
      <c r="AI6" t="s">
        <v>411</v>
      </c>
      <c r="AJ6" t="s">
        <v>411</v>
      </c>
      <c r="AK6" t="s">
        <v>20</v>
      </c>
      <c r="AL6" t="s">
        <v>20</v>
      </c>
      <c r="AM6" t="s">
        <v>20</v>
      </c>
      <c r="AN6" t="s">
        <v>411</v>
      </c>
      <c r="AO6" t="s">
        <v>20</v>
      </c>
      <c r="AP6" t="s">
        <v>20</v>
      </c>
      <c r="AQ6" t="s">
        <v>411</v>
      </c>
      <c r="AR6" t="s">
        <v>411</v>
      </c>
      <c r="AS6" t="s">
        <v>411</v>
      </c>
      <c r="AT6" t="s">
        <v>411</v>
      </c>
      <c r="AU6" t="s">
        <v>20</v>
      </c>
      <c r="AV6" s="306" t="s">
        <v>20</v>
      </c>
      <c r="AW6" t="s">
        <v>411</v>
      </c>
      <c r="AX6">
        <v>7</v>
      </c>
      <c r="AY6" t="s">
        <v>777</v>
      </c>
      <c r="AZ6" t="s">
        <v>778</v>
      </c>
    </row>
    <row r="7" spans="1:54" x14ac:dyDescent="0.3">
      <c r="A7" s="306">
        <v>6</v>
      </c>
      <c r="B7" t="s">
        <v>523</v>
      </c>
      <c r="C7" s="306" t="s">
        <v>779</v>
      </c>
      <c r="D7" s="306" t="s">
        <v>722</v>
      </c>
      <c r="E7" s="306" t="s">
        <v>936</v>
      </c>
      <c r="F7" s="306" t="s">
        <v>937</v>
      </c>
      <c r="G7">
        <v>18</v>
      </c>
      <c r="H7" t="s">
        <v>668</v>
      </c>
      <c r="I7" t="s">
        <v>20</v>
      </c>
      <c r="J7" t="s">
        <v>20</v>
      </c>
      <c r="K7" t="s">
        <v>20</v>
      </c>
      <c r="L7" t="s">
        <v>20</v>
      </c>
      <c r="M7" t="s">
        <v>741</v>
      </c>
      <c r="N7" t="s">
        <v>411</v>
      </c>
      <c r="O7" t="s">
        <v>411</v>
      </c>
      <c r="Q7" t="s">
        <v>20</v>
      </c>
      <c r="R7" t="s">
        <v>20</v>
      </c>
      <c r="S7" t="s">
        <v>411</v>
      </c>
      <c r="T7" t="s">
        <v>20</v>
      </c>
      <c r="U7" t="s">
        <v>20</v>
      </c>
      <c r="V7" t="s">
        <v>20</v>
      </c>
      <c r="W7" t="s">
        <v>20</v>
      </c>
      <c r="X7" t="s">
        <v>20</v>
      </c>
      <c r="Y7" t="s">
        <v>411</v>
      </c>
      <c r="Z7" t="s">
        <v>411</v>
      </c>
      <c r="AA7" t="s">
        <v>20</v>
      </c>
      <c r="AB7" t="s">
        <v>411</v>
      </c>
      <c r="AC7" t="s">
        <v>20</v>
      </c>
      <c r="AD7" t="s">
        <v>20</v>
      </c>
      <c r="AE7" t="s">
        <v>20</v>
      </c>
      <c r="AF7" t="s">
        <v>20</v>
      </c>
      <c r="AG7" t="s">
        <v>20</v>
      </c>
      <c r="AH7" t="s">
        <v>20</v>
      </c>
      <c r="AI7" t="s">
        <v>411</v>
      </c>
      <c r="AJ7" t="s">
        <v>411</v>
      </c>
      <c r="AK7" t="s">
        <v>20</v>
      </c>
      <c r="AL7" t="s">
        <v>20</v>
      </c>
      <c r="AM7" t="s">
        <v>20</v>
      </c>
      <c r="AN7" t="s">
        <v>20</v>
      </c>
      <c r="AO7" t="s">
        <v>20</v>
      </c>
      <c r="AP7" t="s">
        <v>20</v>
      </c>
      <c r="AQ7" t="s">
        <v>20</v>
      </c>
      <c r="AR7" t="s">
        <v>20</v>
      </c>
      <c r="AS7" t="s">
        <v>20</v>
      </c>
      <c r="AT7" t="s">
        <v>20</v>
      </c>
      <c r="AU7" t="s">
        <v>20</v>
      </c>
      <c r="AV7" s="306" t="s">
        <v>20</v>
      </c>
      <c r="AW7" t="s">
        <v>20</v>
      </c>
      <c r="AX7">
        <v>8</v>
      </c>
    </row>
    <row r="8" spans="1:54" x14ac:dyDescent="0.3">
      <c r="A8" s="306">
        <v>7</v>
      </c>
      <c r="B8" t="s">
        <v>686</v>
      </c>
      <c r="C8" t="s">
        <v>793</v>
      </c>
      <c r="D8" t="s">
        <v>780</v>
      </c>
      <c r="E8" s="306" t="s">
        <v>938</v>
      </c>
      <c r="F8" s="306" t="s">
        <v>939</v>
      </c>
      <c r="G8">
        <v>10</v>
      </c>
      <c r="H8" s="306" t="s">
        <v>668</v>
      </c>
      <c r="I8" t="s">
        <v>20</v>
      </c>
      <c r="J8" t="s">
        <v>20</v>
      </c>
      <c r="K8" t="s">
        <v>20</v>
      </c>
      <c r="L8" t="s">
        <v>20</v>
      </c>
      <c r="M8" t="s">
        <v>696</v>
      </c>
      <c r="N8" t="s">
        <v>411</v>
      </c>
      <c r="O8" t="s">
        <v>411</v>
      </c>
      <c r="Q8" t="s">
        <v>20</v>
      </c>
      <c r="R8" t="s">
        <v>20</v>
      </c>
      <c r="S8" t="s">
        <v>20</v>
      </c>
      <c r="T8" t="s">
        <v>20</v>
      </c>
      <c r="U8" t="s">
        <v>20</v>
      </c>
      <c r="V8" t="s">
        <v>20</v>
      </c>
      <c r="W8" t="s">
        <v>20</v>
      </c>
      <c r="X8" t="s">
        <v>411</v>
      </c>
      <c r="Y8" t="s">
        <v>411</v>
      </c>
      <c r="Z8" t="s">
        <v>411</v>
      </c>
      <c r="AA8" t="s">
        <v>411</v>
      </c>
      <c r="AB8" t="s">
        <v>411</v>
      </c>
      <c r="AC8" t="s">
        <v>20</v>
      </c>
      <c r="AD8" t="s">
        <v>20</v>
      </c>
      <c r="AE8" t="s">
        <v>20</v>
      </c>
      <c r="AF8" t="s">
        <v>20</v>
      </c>
      <c r="AG8" t="s">
        <v>20</v>
      </c>
      <c r="AH8" t="s">
        <v>20</v>
      </c>
      <c r="AI8" t="s">
        <v>20</v>
      </c>
      <c r="AJ8" t="s">
        <v>20</v>
      </c>
      <c r="AK8" t="s">
        <v>20</v>
      </c>
      <c r="AL8" t="s">
        <v>20</v>
      </c>
      <c r="AM8" t="s">
        <v>20</v>
      </c>
      <c r="AN8" t="s">
        <v>20</v>
      </c>
      <c r="AO8" t="s">
        <v>20</v>
      </c>
      <c r="AP8" t="s">
        <v>20</v>
      </c>
      <c r="AQ8" t="s">
        <v>20</v>
      </c>
      <c r="AR8" t="s">
        <v>20</v>
      </c>
      <c r="AS8" t="s">
        <v>20</v>
      </c>
      <c r="AT8" t="s">
        <v>20</v>
      </c>
      <c r="AU8" t="s">
        <v>20</v>
      </c>
      <c r="AV8" s="306" t="s">
        <v>20</v>
      </c>
      <c r="AW8" s="306" t="s">
        <v>20</v>
      </c>
      <c r="AX8" s="314">
        <v>10</v>
      </c>
      <c r="AY8" t="s">
        <v>796</v>
      </c>
    </row>
    <row r="9" spans="1:54" x14ac:dyDescent="0.3">
      <c r="A9" s="306">
        <v>8</v>
      </c>
      <c r="B9" t="s">
        <v>784</v>
      </c>
      <c r="C9" t="s">
        <v>794</v>
      </c>
      <c r="D9" t="s">
        <v>722</v>
      </c>
      <c r="E9" s="306" t="s">
        <v>941</v>
      </c>
      <c r="F9" s="306" t="s">
        <v>942</v>
      </c>
      <c r="G9" s="314">
        <v>5</v>
      </c>
      <c r="H9" s="306" t="s">
        <v>668</v>
      </c>
      <c r="I9" s="306" t="s">
        <v>20</v>
      </c>
      <c r="J9" s="306" t="s">
        <v>20</v>
      </c>
      <c r="K9" s="306" t="s">
        <v>20</v>
      </c>
      <c r="L9" s="306" t="s">
        <v>20</v>
      </c>
      <c r="M9" s="86" t="s">
        <v>732</v>
      </c>
      <c r="N9" s="306" t="s">
        <v>20</v>
      </c>
      <c r="O9" s="306" t="s">
        <v>20</v>
      </c>
      <c r="P9" s="306"/>
      <c r="Q9" s="306" t="s">
        <v>20</v>
      </c>
      <c r="R9" s="306" t="s">
        <v>20</v>
      </c>
      <c r="S9" s="306" t="s">
        <v>411</v>
      </c>
      <c r="T9" s="306" t="s">
        <v>20</v>
      </c>
      <c r="U9" s="306" t="s">
        <v>20</v>
      </c>
      <c r="V9" s="306" t="s">
        <v>20</v>
      </c>
      <c r="W9" s="306" t="s">
        <v>20</v>
      </c>
      <c r="X9" s="306" t="s">
        <v>20</v>
      </c>
      <c r="Y9" s="306" t="s">
        <v>20</v>
      </c>
      <c r="Z9" s="306" t="s">
        <v>20</v>
      </c>
      <c r="AA9" s="306" t="s">
        <v>20</v>
      </c>
      <c r="AB9" s="306" t="s">
        <v>20</v>
      </c>
      <c r="AC9" s="306" t="s">
        <v>411</v>
      </c>
      <c r="AD9" s="306" t="s">
        <v>411</v>
      </c>
      <c r="AE9" s="306" t="s">
        <v>411</v>
      </c>
      <c r="AF9" s="306" t="s">
        <v>20</v>
      </c>
      <c r="AG9" s="306" t="s">
        <v>411</v>
      </c>
      <c r="AH9" s="306" t="s">
        <v>20</v>
      </c>
      <c r="AI9" s="306" t="s">
        <v>411</v>
      </c>
      <c r="AJ9" s="306" t="s">
        <v>411</v>
      </c>
      <c r="AK9" s="306" t="s">
        <v>411</v>
      </c>
      <c r="AL9" s="306" t="s">
        <v>411</v>
      </c>
      <c r="AM9" s="306" t="s">
        <v>20</v>
      </c>
      <c r="AN9" s="306" t="s">
        <v>20</v>
      </c>
      <c r="AO9" s="306" t="s">
        <v>20</v>
      </c>
      <c r="AP9" s="306" t="s">
        <v>20</v>
      </c>
      <c r="AQ9" s="306" t="s">
        <v>20</v>
      </c>
      <c r="AR9" s="306" t="s">
        <v>20</v>
      </c>
      <c r="AS9" s="306" t="s">
        <v>20</v>
      </c>
      <c r="AT9" s="306" t="s">
        <v>20</v>
      </c>
      <c r="AU9" s="306" t="s">
        <v>411</v>
      </c>
      <c r="AV9" s="306" t="s">
        <v>20</v>
      </c>
      <c r="AW9" s="306" t="s">
        <v>20</v>
      </c>
      <c r="AX9" s="314">
        <v>9</v>
      </c>
      <c r="AY9" s="86" t="s">
        <v>797</v>
      </c>
      <c r="AZ9" s="86" t="s">
        <v>798</v>
      </c>
    </row>
    <row r="10" spans="1:54" x14ac:dyDescent="0.3">
      <c r="A10" s="306">
        <v>9</v>
      </c>
      <c r="B10" t="s">
        <v>537</v>
      </c>
      <c r="C10" t="s">
        <v>794</v>
      </c>
      <c r="D10" t="s">
        <v>722</v>
      </c>
      <c r="F10" s="86"/>
      <c r="G10" s="314">
        <v>5</v>
      </c>
      <c r="H10" s="306" t="s">
        <v>668</v>
      </c>
      <c r="I10" s="306" t="s">
        <v>20</v>
      </c>
      <c r="J10" s="306" t="s">
        <v>20</v>
      </c>
      <c r="K10" s="306" t="s">
        <v>20</v>
      </c>
      <c r="L10" s="306" t="s">
        <v>20</v>
      </c>
      <c r="M10" s="306" t="s">
        <v>540</v>
      </c>
      <c r="N10" s="306" t="s">
        <v>20</v>
      </c>
      <c r="O10" s="306" t="s">
        <v>20</v>
      </c>
      <c r="P10" s="306"/>
      <c r="Q10" s="306" t="s">
        <v>411</v>
      </c>
      <c r="R10" s="306" t="s">
        <v>20</v>
      </c>
      <c r="S10" s="306" t="s">
        <v>411</v>
      </c>
      <c r="T10" s="306" t="s">
        <v>411</v>
      </c>
      <c r="U10" s="306" t="s">
        <v>411</v>
      </c>
      <c r="V10" s="306" t="s">
        <v>411</v>
      </c>
      <c r="W10" s="306" t="s">
        <v>411</v>
      </c>
      <c r="X10" s="306" t="s">
        <v>411</v>
      </c>
      <c r="Y10" s="306" t="s">
        <v>411</v>
      </c>
      <c r="Z10" s="306" t="s">
        <v>411</v>
      </c>
      <c r="AA10" s="306" t="s">
        <v>20</v>
      </c>
      <c r="AB10" s="306" t="s">
        <v>411</v>
      </c>
      <c r="AC10" s="306" t="s">
        <v>411</v>
      </c>
      <c r="AD10" s="306" t="s">
        <v>411</v>
      </c>
      <c r="AE10" s="306" t="s">
        <v>411</v>
      </c>
      <c r="AF10" s="306" t="s">
        <v>411</v>
      </c>
      <c r="AG10" s="306" t="s">
        <v>411</v>
      </c>
      <c r="AH10" s="306" t="s">
        <v>411</v>
      </c>
      <c r="AI10" s="306" t="s">
        <v>411</v>
      </c>
      <c r="AJ10" s="306" t="s">
        <v>411</v>
      </c>
      <c r="AK10" s="306" t="s">
        <v>411</v>
      </c>
      <c r="AL10" s="306" t="s">
        <v>411</v>
      </c>
      <c r="AM10" s="306" t="s">
        <v>411</v>
      </c>
      <c r="AN10" s="306" t="s">
        <v>411</v>
      </c>
      <c r="AO10" s="306" t="s">
        <v>411</v>
      </c>
      <c r="AP10" s="306" t="s">
        <v>411</v>
      </c>
      <c r="AQ10" s="306" t="s">
        <v>411</v>
      </c>
      <c r="AR10" s="306" t="s">
        <v>411</v>
      </c>
      <c r="AS10" s="306" t="s">
        <v>411</v>
      </c>
      <c r="AT10" s="306" t="s">
        <v>411</v>
      </c>
      <c r="AU10" s="306" t="s">
        <v>411</v>
      </c>
      <c r="AV10" s="306" t="s">
        <v>20</v>
      </c>
      <c r="AW10" s="306" t="s">
        <v>411</v>
      </c>
      <c r="AX10" s="314">
        <v>10</v>
      </c>
      <c r="AY10" s="86" t="s">
        <v>799</v>
      </c>
      <c r="AZ10" s="86" t="s">
        <v>798</v>
      </c>
    </row>
    <row r="11" spans="1:54" x14ac:dyDescent="0.3">
      <c r="A11" s="306">
        <v>10</v>
      </c>
      <c r="B11" t="s">
        <v>539</v>
      </c>
      <c r="C11" t="s">
        <v>794</v>
      </c>
      <c r="D11" t="s">
        <v>722</v>
      </c>
      <c r="E11" s="306" t="s">
        <v>940</v>
      </c>
      <c r="F11" s="306" t="s">
        <v>943</v>
      </c>
      <c r="G11" s="314">
        <v>4</v>
      </c>
      <c r="H11" s="306" t="s">
        <v>668</v>
      </c>
      <c r="I11" s="306" t="s">
        <v>20</v>
      </c>
      <c r="J11" s="306" t="s">
        <v>20</v>
      </c>
      <c r="K11" s="306" t="s">
        <v>20</v>
      </c>
      <c r="L11" s="306" t="s">
        <v>20</v>
      </c>
      <c r="M11" s="306" t="s">
        <v>540</v>
      </c>
      <c r="N11" s="306" t="s">
        <v>20</v>
      </c>
      <c r="O11" s="306" t="s">
        <v>20</v>
      </c>
      <c r="P11" s="306"/>
      <c r="Q11" s="306" t="s">
        <v>20</v>
      </c>
      <c r="R11" s="306" t="s">
        <v>20</v>
      </c>
      <c r="S11" s="306" t="s">
        <v>411</v>
      </c>
      <c r="T11" s="306" t="s">
        <v>411</v>
      </c>
      <c r="U11" s="306" t="s">
        <v>20</v>
      </c>
      <c r="V11" s="306" t="s">
        <v>411</v>
      </c>
      <c r="W11" s="306" t="s">
        <v>20</v>
      </c>
      <c r="X11" s="306" t="s">
        <v>20</v>
      </c>
      <c r="Y11" s="306" t="s">
        <v>411</v>
      </c>
      <c r="Z11" s="306" t="s">
        <v>20</v>
      </c>
      <c r="AA11" s="306" t="s">
        <v>20</v>
      </c>
      <c r="AB11" s="306" t="s">
        <v>20</v>
      </c>
      <c r="AC11" s="306" t="s">
        <v>411</v>
      </c>
      <c r="AD11" s="306" t="s">
        <v>411</v>
      </c>
      <c r="AE11" s="306" t="s">
        <v>411</v>
      </c>
      <c r="AF11" s="306" t="s">
        <v>411</v>
      </c>
      <c r="AG11" s="306" t="s">
        <v>411</v>
      </c>
      <c r="AH11" s="306" t="s">
        <v>20</v>
      </c>
      <c r="AI11" s="306" t="s">
        <v>411</v>
      </c>
      <c r="AJ11" s="306" t="s">
        <v>411</v>
      </c>
      <c r="AK11" s="306" t="s">
        <v>411</v>
      </c>
      <c r="AL11" s="306" t="s">
        <v>411</v>
      </c>
      <c r="AM11" s="306" t="s">
        <v>20</v>
      </c>
      <c r="AN11" s="306" t="s">
        <v>20</v>
      </c>
      <c r="AO11" s="306" t="s">
        <v>20</v>
      </c>
      <c r="AP11" s="306" t="s">
        <v>20</v>
      </c>
      <c r="AQ11" s="306" t="s">
        <v>20</v>
      </c>
      <c r="AR11" s="306" t="s">
        <v>411</v>
      </c>
      <c r="AS11" s="306" t="s">
        <v>411</v>
      </c>
      <c r="AT11" s="306" t="s">
        <v>20</v>
      </c>
      <c r="AU11" s="306" t="s">
        <v>20</v>
      </c>
      <c r="AV11" s="306" t="s">
        <v>20</v>
      </c>
      <c r="AW11" s="306" t="s">
        <v>20</v>
      </c>
      <c r="AX11" s="314">
        <v>10</v>
      </c>
      <c r="AY11" s="306" t="s">
        <v>800</v>
      </c>
      <c r="AZ11" s="306" t="s">
        <v>798</v>
      </c>
    </row>
    <row r="12" spans="1:54" x14ac:dyDescent="0.3">
      <c r="A12" s="306">
        <v>11</v>
      </c>
      <c r="B12" t="s">
        <v>795</v>
      </c>
      <c r="C12" s="306" t="s">
        <v>779</v>
      </c>
      <c r="D12" s="306" t="s">
        <v>783</v>
      </c>
      <c r="E12" s="306" t="s">
        <v>944</v>
      </c>
      <c r="F12" s="306" t="s">
        <v>945</v>
      </c>
      <c r="G12" s="314">
        <v>20</v>
      </c>
      <c r="H12" s="306" t="s">
        <v>668</v>
      </c>
      <c r="I12" s="306" t="s">
        <v>20</v>
      </c>
      <c r="J12" s="306" t="s">
        <v>20</v>
      </c>
      <c r="K12" s="306" t="s">
        <v>20</v>
      </c>
      <c r="L12" s="306" t="s">
        <v>20</v>
      </c>
      <c r="M12" s="306" t="s">
        <v>522</v>
      </c>
      <c r="N12" t="s">
        <v>411</v>
      </c>
      <c r="O12" t="s">
        <v>411</v>
      </c>
      <c r="P12" s="306"/>
      <c r="Q12" s="306" t="s">
        <v>20</v>
      </c>
      <c r="R12" s="306" t="s">
        <v>20</v>
      </c>
      <c r="S12" s="306" t="s">
        <v>20</v>
      </c>
      <c r="T12" s="306" t="s">
        <v>20</v>
      </c>
      <c r="U12" s="306" t="s">
        <v>20</v>
      </c>
      <c r="V12" s="306" t="s">
        <v>20</v>
      </c>
      <c r="W12" s="306" t="s">
        <v>20</v>
      </c>
      <c r="X12" s="306" t="s">
        <v>20</v>
      </c>
      <c r="Y12" s="306" t="s">
        <v>20</v>
      </c>
      <c r="Z12" s="306" t="s">
        <v>20</v>
      </c>
      <c r="AA12" s="306" t="s">
        <v>20</v>
      </c>
      <c r="AB12" s="306" t="s">
        <v>20</v>
      </c>
      <c r="AC12" s="306" t="s">
        <v>20</v>
      </c>
      <c r="AD12" s="306" t="s">
        <v>20</v>
      </c>
      <c r="AE12" s="306" t="s">
        <v>20</v>
      </c>
      <c r="AF12" s="306" t="s">
        <v>20</v>
      </c>
      <c r="AG12" s="306" t="s">
        <v>20</v>
      </c>
      <c r="AH12" s="306" t="s">
        <v>20</v>
      </c>
      <c r="AI12" s="306" t="s">
        <v>20</v>
      </c>
      <c r="AJ12" s="306" t="s">
        <v>20</v>
      </c>
      <c r="AK12" s="306" t="s">
        <v>20</v>
      </c>
      <c r="AL12" s="306" t="s">
        <v>20</v>
      </c>
      <c r="AM12" s="306" t="s">
        <v>20</v>
      </c>
      <c r="AN12" s="306" t="s">
        <v>20</v>
      </c>
      <c r="AO12" s="306" t="s">
        <v>20</v>
      </c>
      <c r="AP12" s="306" t="s">
        <v>20</v>
      </c>
      <c r="AQ12" s="306" t="s">
        <v>20</v>
      </c>
      <c r="AR12" s="306" t="s">
        <v>20</v>
      </c>
      <c r="AS12" s="306" t="s">
        <v>20</v>
      </c>
      <c r="AT12" s="306" t="s">
        <v>411</v>
      </c>
      <c r="AU12" s="306" t="s">
        <v>411</v>
      </c>
      <c r="AV12" s="306" t="s">
        <v>20</v>
      </c>
      <c r="AW12" s="306" t="s">
        <v>20</v>
      </c>
      <c r="AX12" s="314">
        <v>9</v>
      </c>
      <c r="AY12" s="306"/>
      <c r="AZ12" s="306"/>
    </row>
    <row r="13" spans="1:54" x14ac:dyDescent="0.3">
      <c r="A13" s="306"/>
      <c r="F13" s="86"/>
      <c r="G13" s="86"/>
      <c r="H13" s="306"/>
      <c r="I13" s="306"/>
      <c r="J13" s="306"/>
      <c r="K13" s="306"/>
      <c r="L13" s="306"/>
      <c r="M13" s="306"/>
      <c r="N13" s="306"/>
      <c r="O13" s="306"/>
      <c r="P13" s="306"/>
      <c r="Q13" s="306"/>
      <c r="R13" s="306"/>
      <c r="S13" s="306"/>
      <c r="T13" s="306"/>
      <c r="U13" s="306"/>
      <c r="V13" s="306"/>
      <c r="W13" s="306"/>
      <c r="X13" s="306"/>
      <c r="Y13" s="306"/>
      <c r="Z13" s="306"/>
      <c r="AA13" s="306"/>
      <c r="AB13" s="306"/>
      <c r="AC13" s="306"/>
      <c r="AD13" s="306"/>
      <c r="AE13" s="306"/>
      <c r="AF13" s="306"/>
      <c r="AG13" s="306"/>
      <c r="AH13" s="306"/>
      <c r="AI13" s="306"/>
      <c r="AJ13" s="306"/>
      <c r="AK13" s="306"/>
      <c r="AL13" s="306"/>
      <c r="AM13" s="306"/>
      <c r="AN13" s="306"/>
      <c r="AO13" s="306"/>
      <c r="AP13" s="306"/>
      <c r="AQ13" s="306"/>
      <c r="AR13" s="306"/>
      <c r="AS13" s="306"/>
      <c r="AT13" s="306"/>
      <c r="AU13" s="306"/>
      <c r="AV13" s="306"/>
      <c r="AW13" s="306"/>
      <c r="AX13" s="306"/>
      <c r="AY13" s="306"/>
      <c r="AZ13" s="306"/>
    </row>
    <row r="14" spans="1:54" x14ac:dyDescent="0.3">
      <c r="H14" s="306"/>
      <c r="I14" s="306"/>
      <c r="J14" s="306"/>
      <c r="K14" s="306"/>
      <c r="L14" s="306"/>
      <c r="M14" s="306"/>
      <c r="N14" s="306"/>
      <c r="O14" s="306"/>
      <c r="P14" s="306"/>
      <c r="Q14" s="306"/>
      <c r="R14" s="306"/>
      <c r="S14" s="306"/>
      <c r="T14" s="306"/>
      <c r="U14" s="306"/>
      <c r="V14" s="306"/>
      <c r="W14" s="306"/>
      <c r="X14" s="306"/>
      <c r="Y14" s="306"/>
      <c r="Z14" s="306"/>
      <c r="AA14" s="306"/>
      <c r="AB14" s="306"/>
      <c r="AC14" s="306"/>
      <c r="AD14" s="306"/>
      <c r="AE14" s="306"/>
      <c r="AF14" s="306"/>
      <c r="AG14" s="306"/>
      <c r="AH14" s="306"/>
      <c r="AI14" s="306"/>
      <c r="AJ14" s="306"/>
      <c r="AK14" s="306"/>
      <c r="AL14" s="306"/>
      <c r="AM14" s="306"/>
      <c r="AN14" s="306"/>
      <c r="AO14" s="306"/>
      <c r="AP14" s="306"/>
      <c r="AQ14" s="306"/>
      <c r="AR14" s="306"/>
      <c r="AS14" s="306"/>
      <c r="AT14" s="306"/>
      <c r="AU14" s="306"/>
      <c r="AV14" s="306"/>
      <c r="AW14" s="306"/>
      <c r="AX14" s="306"/>
      <c r="AY14" s="306"/>
      <c r="AZ14" s="306"/>
    </row>
    <row r="15" spans="1:54" x14ac:dyDescent="0.3">
      <c r="AV15" s="306"/>
    </row>
    <row r="16" spans="1:54" x14ac:dyDescent="0.3">
      <c r="AV16" s="306"/>
    </row>
  </sheetData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40CDC-B069-4803-9503-05A4BD1F6F82}">
  <sheetPr>
    <tabColor rgb="FFFF99CC"/>
  </sheetPr>
  <dimension ref="A1:AC20"/>
  <sheetViews>
    <sheetView zoomScale="75" zoomScaleNormal="75" workbookViewId="0">
      <selection activeCell="E33" sqref="E33"/>
    </sheetView>
  </sheetViews>
  <sheetFormatPr defaultRowHeight="14.4" x14ac:dyDescent="0.3"/>
  <sheetData>
    <row r="1" spans="1:29" ht="60" customHeight="1" x14ac:dyDescent="0.3">
      <c r="A1" s="299" t="s">
        <v>451</v>
      </c>
      <c r="B1" s="299" t="s">
        <v>452</v>
      </c>
      <c r="C1" s="299" t="s">
        <v>453</v>
      </c>
      <c r="D1" s="300" t="s">
        <v>454</v>
      </c>
      <c r="E1" s="301" t="s">
        <v>455</v>
      </c>
      <c r="F1" s="301" t="s">
        <v>456</v>
      </c>
      <c r="G1" s="300" t="s">
        <v>457</v>
      </c>
      <c r="H1" s="300" t="s">
        <v>458</v>
      </c>
      <c r="I1" s="299" t="s">
        <v>459</v>
      </c>
      <c r="J1" s="299" t="s">
        <v>460</v>
      </c>
      <c r="K1" s="299" t="s">
        <v>461</v>
      </c>
      <c r="L1" s="299" t="s">
        <v>462</v>
      </c>
      <c r="M1" s="299" t="s">
        <v>463</v>
      </c>
      <c r="N1" s="299" t="s">
        <v>393</v>
      </c>
      <c r="O1" s="299" t="s">
        <v>464</v>
      </c>
      <c r="P1" s="299" t="s">
        <v>558</v>
      </c>
      <c r="Q1" s="299" t="s">
        <v>465</v>
      </c>
      <c r="R1" s="299" t="s">
        <v>558</v>
      </c>
      <c r="S1" s="300" t="s">
        <v>466</v>
      </c>
      <c r="T1" s="299" t="s">
        <v>558</v>
      </c>
      <c r="U1" s="302" t="s">
        <v>492</v>
      </c>
      <c r="V1" s="302" t="s">
        <v>493</v>
      </c>
      <c r="W1" s="303" t="s">
        <v>494</v>
      </c>
      <c r="X1" s="299" t="s">
        <v>495</v>
      </c>
      <c r="Y1" s="303" t="s">
        <v>496</v>
      </c>
      <c r="Z1" s="304"/>
      <c r="AA1" s="305"/>
    </row>
    <row r="2" spans="1:29" x14ac:dyDescent="0.3">
      <c r="A2" s="306">
        <v>1</v>
      </c>
      <c r="B2" s="306" t="s">
        <v>497</v>
      </c>
      <c r="C2" s="306" t="s">
        <v>498</v>
      </c>
      <c r="D2" s="306" t="s">
        <v>499</v>
      </c>
      <c r="E2" s="306" t="s">
        <v>556</v>
      </c>
      <c r="F2" s="306" t="s">
        <v>557</v>
      </c>
      <c r="G2" s="306">
        <v>15</v>
      </c>
      <c r="H2" s="306" t="s">
        <v>500</v>
      </c>
      <c r="I2" s="306" t="s">
        <v>20</v>
      </c>
      <c r="J2" s="306" t="s">
        <v>20</v>
      </c>
      <c r="K2" s="306" t="s">
        <v>20</v>
      </c>
      <c r="L2" s="306" t="s">
        <v>20</v>
      </c>
      <c r="M2" s="306" t="s">
        <v>501</v>
      </c>
      <c r="N2" s="306" t="s">
        <v>20</v>
      </c>
      <c r="O2" s="306" t="s">
        <v>20</v>
      </c>
      <c r="P2" s="306" t="s">
        <v>560</v>
      </c>
      <c r="Q2" s="306" t="s">
        <v>411</v>
      </c>
      <c r="R2" s="306" t="s">
        <v>559</v>
      </c>
      <c r="S2" s="306" t="s">
        <v>20</v>
      </c>
      <c r="T2" s="306" t="s">
        <v>571</v>
      </c>
      <c r="U2" s="306" t="s">
        <v>411</v>
      </c>
      <c r="V2" s="306" t="s">
        <v>20</v>
      </c>
      <c r="W2" s="306">
        <v>10</v>
      </c>
      <c r="X2" s="306" t="s">
        <v>503</v>
      </c>
      <c r="Y2" s="306"/>
      <c r="Z2" s="306"/>
    </row>
    <row r="3" spans="1:29" x14ac:dyDescent="0.3">
      <c r="A3" s="306">
        <v>2</v>
      </c>
      <c r="B3" s="306" t="s">
        <v>504</v>
      </c>
      <c r="C3" s="306" t="s">
        <v>505</v>
      </c>
      <c r="D3" s="306" t="s">
        <v>499</v>
      </c>
      <c r="E3" s="306" t="s">
        <v>561</v>
      </c>
      <c r="F3" s="306" t="s">
        <v>562</v>
      </c>
      <c r="G3" s="306">
        <v>2</v>
      </c>
      <c r="H3" s="306" t="s">
        <v>500</v>
      </c>
      <c r="I3" s="306" t="s">
        <v>411</v>
      </c>
      <c r="J3" s="306" t="s">
        <v>20</v>
      </c>
      <c r="K3" s="306" t="s">
        <v>20</v>
      </c>
      <c r="L3" s="306" t="s">
        <v>411</v>
      </c>
      <c r="M3" s="306" t="s">
        <v>563</v>
      </c>
      <c r="N3" s="306" t="s">
        <v>411</v>
      </c>
      <c r="O3" s="306" t="s">
        <v>411</v>
      </c>
      <c r="P3" s="306" t="s">
        <v>564</v>
      </c>
      <c r="Q3" s="306" t="s">
        <v>411</v>
      </c>
      <c r="R3" s="306" t="s">
        <v>565</v>
      </c>
      <c r="S3" s="306" t="s">
        <v>411</v>
      </c>
      <c r="T3" s="306" t="s">
        <v>646</v>
      </c>
      <c r="U3" s="306" t="s">
        <v>411</v>
      </c>
      <c r="V3" s="306" t="s">
        <v>20</v>
      </c>
      <c r="W3" s="306">
        <v>9</v>
      </c>
      <c r="X3" s="306" t="s">
        <v>506</v>
      </c>
      <c r="Y3" s="306" t="s">
        <v>507</v>
      </c>
      <c r="Z3" s="306"/>
    </row>
    <row r="4" spans="1:29" x14ac:dyDescent="0.3">
      <c r="A4" s="306">
        <v>3</v>
      </c>
      <c r="B4" s="306" t="s">
        <v>508</v>
      </c>
      <c r="C4" s="306" t="s">
        <v>509</v>
      </c>
      <c r="D4" s="306" t="s">
        <v>510</v>
      </c>
      <c r="E4" s="306" t="s">
        <v>566</v>
      </c>
      <c r="F4" s="306" t="s">
        <v>567</v>
      </c>
      <c r="G4" s="306">
        <v>2</v>
      </c>
      <c r="H4" s="306" t="s">
        <v>500</v>
      </c>
      <c r="I4" s="306" t="s">
        <v>20</v>
      </c>
      <c r="J4" s="306" t="s">
        <v>20</v>
      </c>
      <c r="K4" s="306" t="s">
        <v>20</v>
      </c>
      <c r="L4" s="306" t="s">
        <v>411</v>
      </c>
      <c r="M4" s="306" t="s">
        <v>570</v>
      </c>
      <c r="N4" s="306" t="s">
        <v>20</v>
      </c>
      <c r="O4" s="306" t="s">
        <v>411</v>
      </c>
      <c r="P4" s="306" t="s">
        <v>569</v>
      </c>
      <c r="Q4" s="306" t="s">
        <v>20</v>
      </c>
      <c r="R4" s="306" t="s">
        <v>568</v>
      </c>
      <c r="S4" s="306" t="s">
        <v>20</v>
      </c>
      <c r="T4" s="306" t="s">
        <v>572</v>
      </c>
      <c r="U4" s="306" t="s">
        <v>411</v>
      </c>
      <c r="V4" s="306" t="s">
        <v>20</v>
      </c>
      <c r="W4" s="306">
        <v>10</v>
      </c>
      <c r="X4" s="306" t="s">
        <v>511</v>
      </c>
      <c r="Y4" s="306" t="s">
        <v>576</v>
      </c>
      <c r="Z4" s="306"/>
      <c r="AA4" s="306"/>
    </row>
    <row r="5" spans="1:29" x14ac:dyDescent="0.3">
      <c r="A5" s="306">
        <v>4</v>
      </c>
      <c r="B5" s="306" t="s">
        <v>512</v>
      </c>
      <c r="C5" s="306" t="s">
        <v>498</v>
      </c>
      <c r="D5" s="306" t="s">
        <v>510</v>
      </c>
      <c r="E5" s="306" t="s">
        <v>574</v>
      </c>
      <c r="F5" s="306" t="s">
        <v>575</v>
      </c>
      <c r="G5" s="306">
        <v>13</v>
      </c>
      <c r="H5" s="306" t="s">
        <v>500</v>
      </c>
      <c r="I5" s="306" t="s">
        <v>20</v>
      </c>
      <c r="J5" s="306" t="s">
        <v>20</v>
      </c>
      <c r="K5" s="306" t="s">
        <v>20</v>
      </c>
      <c r="L5" s="306" t="s">
        <v>20</v>
      </c>
      <c r="M5" s="306" t="s">
        <v>513</v>
      </c>
      <c r="N5" s="306" t="s">
        <v>20</v>
      </c>
      <c r="O5" s="306" t="s">
        <v>20</v>
      </c>
      <c r="P5" s="306" t="s">
        <v>573</v>
      </c>
      <c r="Q5" s="306" t="s">
        <v>20</v>
      </c>
      <c r="R5" s="306" t="s">
        <v>577</v>
      </c>
      <c r="S5" s="306" t="s">
        <v>20</v>
      </c>
      <c r="T5" s="306" t="s">
        <v>642</v>
      </c>
      <c r="U5" s="306" t="s">
        <v>411</v>
      </c>
      <c r="V5" s="306" t="s">
        <v>20</v>
      </c>
      <c r="W5" s="306">
        <v>10</v>
      </c>
      <c r="X5" s="306" t="s">
        <v>514</v>
      </c>
      <c r="Y5" s="306" t="s">
        <v>515</v>
      </c>
      <c r="Z5" s="306"/>
      <c r="AA5" s="306"/>
    </row>
    <row r="6" spans="1:29" x14ac:dyDescent="0.3">
      <c r="A6" s="306">
        <v>5</v>
      </c>
      <c r="B6" s="306" t="s">
        <v>512</v>
      </c>
      <c r="C6" s="306" t="s">
        <v>516</v>
      </c>
      <c r="D6" s="306" t="s">
        <v>517</v>
      </c>
      <c r="E6" s="306" t="s">
        <v>578</v>
      </c>
      <c r="F6" s="306" t="s">
        <v>579</v>
      </c>
      <c r="G6" s="306">
        <v>2</v>
      </c>
      <c r="H6" s="306" t="s">
        <v>500</v>
      </c>
      <c r="I6" s="306" t="s">
        <v>20</v>
      </c>
      <c r="J6" s="306" t="s">
        <v>20</v>
      </c>
      <c r="K6" s="306" t="s">
        <v>20</v>
      </c>
      <c r="L6" s="306" t="s">
        <v>411</v>
      </c>
      <c r="M6" s="306" t="s">
        <v>580</v>
      </c>
      <c r="N6" s="306" t="s">
        <v>20</v>
      </c>
      <c r="O6" s="306" t="s">
        <v>411</v>
      </c>
      <c r="P6" s="306" t="s">
        <v>581</v>
      </c>
      <c r="Q6" s="306" t="s">
        <v>411</v>
      </c>
      <c r="R6" s="306" t="s">
        <v>582</v>
      </c>
      <c r="S6" s="306" t="s">
        <v>411</v>
      </c>
      <c r="T6" s="306" t="s">
        <v>583</v>
      </c>
      <c r="U6" s="306" t="s">
        <v>411</v>
      </c>
      <c r="V6" s="306" t="s">
        <v>20</v>
      </c>
      <c r="W6" s="306">
        <v>10</v>
      </c>
      <c r="X6" s="306" t="s">
        <v>518</v>
      </c>
      <c r="Y6" s="306" t="s">
        <v>519</v>
      </c>
      <c r="Z6" s="306"/>
      <c r="AA6" s="306"/>
    </row>
    <row r="7" spans="1:29" x14ac:dyDescent="0.3">
      <c r="A7" s="306">
        <v>6</v>
      </c>
      <c r="B7" s="306" t="s">
        <v>523</v>
      </c>
      <c r="C7" s="306" t="s">
        <v>524</v>
      </c>
      <c r="D7" s="306" t="s">
        <v>510</v>
      </c>
      <c r="E7" s="307" t="s">
        <v>590</v>
      </c>
      <c r="F7" s="307" t="s">
        <v>556</v>
      </c>
      <c r="G7" s="306">
        <v>6</v>
      </c>
      <c r="H7" s="306" t="s">
        <v>500</v>
      </c>
      <c r="I7" s="306" t="s">
        <v>20</v>
      </c>
      <c r="J7" s="306" t="s">
        <v>20</v>
      </c>
      <c r="K7" s="306" t="s">
        <v>20</v>
      </c>
      <c r="L7" s="306" t="s">
        <v>20</v>
      </c>
      <c r="M7" s="306" t="s">
        <v>526</v>
      </c>
      <c r="N7" s="306" t="s">
        <v>20</v>
      </c>
      <c r="O7" s="306" t="s">
        <v>411</v>
      </c>
      <c r="P7" s="306" t="s">
        <v>591</v>
      </c>
      <c r="Q7" s="306" t="s">
        <v>20</v>
      </c>
      <c r="R7" s="306" t="s">
        <v>592</v>
      </c>
      <c r="S7" s="306" t="s">
        <v>20</v>
      </c>
      <c r="T7" s="306" t="s">
        <v>647</v>
      </c>
      <c r="U7" s="306" t="s">
        <v>411</v>
      </c>
      <c r="V7" s="306" t="s">
        <v>20</v>
      </c>
      <c r="W7" s="306">
        <v>10</v>
      </c>
      <c r="X7" s="306" t="s">
        <v>527</v>
      </c>
      <c r="Y7" s="306" t="s">
        <v>528</v>
      </c>
      <c r="Z7" s="306"/>
      <c r="AA7" s="306"/>
    </row>
    <row r="8" spans="1:29" x14ac:dyDescent="0.3">
      <c r="A8" s="306">
        <v>7</v>
      </c>
      <c r="B8" s="306" t="s">
        <v>551</v>
      </c>
      <c r="C8" s="306" t="s">
        <v>498</v>
      </c>
      <c r="D8" s="306" t="s">
        <v>553</v>
      </c>
      <c r="E8" s="306" t="s">
        <v>638</v>
      </c>
      <c r="F8" s="306" t="s">
        <v>639</v>
      </c>
      <c r="G8" s="306">
        <v>3</v>
      </c>
      <c r="H8" s="306" t="s">
        <v>500</v>
      </c>
      <c r="I8" s="306" t="s">
        <v>20</v>
      </c>
      <c r="J8" s="306" t="s">
        <v>20</v>
      </c>
      <c r="K8" s="306" t="s">
        <v>20</v>
      </c>
      <c r="L8" s="306" t="s">
        <v>20</v>
      </c>
      <c r="M8" s="306" t="s">
        <v>643</v>
      </c>
      <c r="N8" s="306" t="s">
        <v>20</v>
      </c>
      <c r="O8" s="306" t="s">
        <v>411</v>
      </c>
      <c r="P8" s="306" t="s">
        <v>644</v>
      </c>
      <c r="Q8" s="306" t="s">
        <v>20</v>
      </c>
      <c r="R8" s="306" t="s">
        <v>645</v>
      </c>
      <c r="S8" s="306" t="s">
        <v>411</v>
      </c>
      <c r="T8" s="306" t="s">
        <v>646</v>
      </c>
      <c r="U8" s="306" t="s">
        <v>411</v>
      </c>
      <c r="V8" s="306" t="s">
        <v>20</v>
      </c>
      <c r="W8" s="306">
        <v>10</v>
      </c>
      <c r="X8" s="306" t="s">
        <v>640</v>
      </c>
      <c r="Y8" s="306" t="s">
        <v>641</v>
      </c>
      <c r="Z8" s="306"/>
      <c r="AA8" s="306"/>
    </row>
    <row r="9" spans="1:29" x14ac:dyDescent="0.3">
      <c r="A9" s="306">
        <v>8</v>
      </c>
      <c r="B9" s="306" t="s">
        <v>675</v>
      </c>
      <c r="C9" s="306" t="s">
        <v>509</v>
      </c>
      <c r="D9" s="306" t="s">
        <v>658</v>
      </c>
      <c r="E9" s="306" t="s">
        <v>801</v>
      </c>
      <c r="F9" s="306" t="s">
        <v>802</v>
      </c>
      <c r="G9" s="306">
        <v>2</v>
      </c>
      <c r="H9" s="306" t="s">
        <v>500</v>
      </c>
      <c r="I9" s="306" t="s">
        <v>20</v>
      </c>
      <c r="J9" s="306" t="s">
        <v>20</v>
      </c>
      <c r="K9" s="306" t="s">
        <v>20</v>
      </c>
      <c r="L9" s="306" t="s">
        <v>411</v>
      </c>
      <c r="M9" s="306" t="s">
        <v>570</v>
      </c>
      <c r="N9" s="306" t="s">
        <v>20</v>
      </c>
      <c r="O9" s="306" t="s">
        <v>411</v>
      </c>
      <c r="P9" s="306" t="s">
        <v>581</v>
      </c>
      <c r="Q9" s="306" t="s">
        <v>20</v>
      </c>
      <c r="R9" s="306" t="s">
        <v>803</v>
      </c>
      <c r="S9" s="306" t="s">
        <v>20</v>
      </c>
      <c r="T9" s="306" t="s">
        <v>804</v>
      </c>
      <c r="U9" s="306" t="s">
        <v>411</v>
      </c>
      <c r="V9" s="306" t="s">
        <v>20</v>
      </c>
      <c r="W9" s="306">
        <v>10</v>
      </c>
      <c r="X9" s="306" t="s">
        <v>840</v>
      </c>
      <c r="Y9" s="306" t="s">
        <v>519</v>
      </c>
    </row>
    <row r="10" spans="1:29" x14ac:dyDescent="0.3">
      <c r="A10" s="306">
        <v>9</v>
      </c>
      <c r="B10" s="306" t="s">
        <v>529</v>
      </c>
      <c r="C10" s="306" t="s">
        <v>676</v>
      </c>
      <c r="D10" s="306" t="s">
        <v>671</v>
      </c>
      <c r="E10" s="306" t="s">
        <v>578</v>
      </c>
      <c r="F10" s="306" t="s">
        <v>805</v>
      </c>
      <c r="G10" s="306">
        <v>6</v>
      </c>
      <c r="H10" s="306" t="s">
        <v>500</v>
      </c>
      <c r="I10" s="306" t="s">
        <v>20</v>
      </c>
      <c r="J10" s="306" t="s">
        <v>20</v>
      </c>
      <c r="K10" s="306" t="s">
        <v>20</v>
      </c>
      <c r="L10" s="306" t="s">
        <v>20</v>
      </c>
      <c r="M10" s="306" t="s">
        <v>690</v>
      </c>
      <c r="N10" s="306" t="s">
        <v>20</v>
      </c>
      <c r="O10" s="306" t="s">
        <v>411</v>
      </c>
      <c r="P10" s="306" t="s">
        <v>564</v>
      </c>
      <c r="Q10" s="306" t="s">
        <v>411</v>
      </c>
      <c r="R10" s="306" t="s">
        <v>806</v>
      </c>
      <c r="S10" s="306" t="s">
        <v>411</v>
      </c>
      <c r="T10" s="306" t="s">
        <v>646</v>
      </c>
      <c r="U10" s="306" t="s">
        <v>411</v>
      </c>
      <c r="V10" s="306" t="s">
        <v>20</v>
      </c>
      <c r="W10" s="306">
        <v>8</v>
      </c>
      <c r="X10" t="s">
        <v>691</v>
      </c>
      <c r="Y10" t="s">
        <v>692</v>
      </c>
    </row>
    <row r="11" spans="1:29" x14ac:dyDescent="0.3">
      <c r="A11" s="306">
        <v>10</v>
      </c>
      <c r="B11" s="306" t="s">
        <v>677</v>
      </c>
      <c r="C11" s="306" t="s">
        <v>678</v>
      </c>
      <c r="D11" s="306" t="s">
        <v>674</v>
      </c>
      <c r="E11" s="306" t="s">
        <v>807</v>
      </c>
      <c r="F11" s="306" t="s">
        <v>808</v>
      </c>
      <c r="G11" s="306">
        <v>3</v>
      </c>
      <c r="H11" s="306" t="s">
        <v>500</v>
      </c>
      <c r="I11" s="306" t="s">
        <v>20</v>
      </c>
      <c r="J11" s="306" t="s">
        <v>20</v>
      </c>
      <c r="K11" s="306" t="s">
        <v>20</v>
      </c>
      <c r="L11" s="306" t="s">
        <v>20</v>
      </c>
      <c r="M11" s="306" t="s">
        <v>698</v>
      </c>
      <c r="N11" s="306" t="s">
        <v>20</v>
      </c>
      <c r="O11" s="306" t="s">
        <v>20</v>
      </c>
      <c r="P11" s="306" t="s">
        <v>830</v>
      </c>
      <c r="Q11" s="306" t="s">
        <v>20</v>
      </c>
      <c r="R11" s="306" t="s">
        <v>809</v>
      </c>
      <c r="S11" s="306" t="s">
        <v>411</v>
      </c>
      <c r="T11" s="306" t="s">
        <v>810</v>
      </c>
      <c r="U11" s="306" t="s">
        <v>411</v>
      </c>
      <c r="V11" s="306" t="s">
        <v>20</v>
      </c>
      <c r="W11" s="306">
        <v>10</v>
      </c>
      <c r="X11" t="s">
        <v>693</v>
      </c>
      <c r="Y11" t="s">
        <v>694</v>
      </c>
    </row>
    <row r="12" spans="1:29" x14ac:dyDescent="0.3">
      <c r="A12" s="306">
        <v>11</v>
      </c>
      <c r="B12" t="s">
        <v>684</v>
      </c>
      <c r="C12" s="306" t="s">
        <v>685</v>
      </c>
      <c r="D12" s="306" t="s">
        <v>671</v>
      </c>
      <c r="E12" s="306" t="s">
        <v>812</v>
      </c>
      <c r="F12" s="306" t="s">
        <v>629</v>
      </c>
      <c r="G12" s="306">
        <v>2</v>
      </c>
      <c r="H12" s="306" t="s">
        <v>500</v>
      </c>
      <c r="I12" s="306" t="s">
        <v>20</v>
      </c>
      <c r="J12" s="306" t="s">
        <v>20</v>
      </c>
      <c r="K12" s="306" t="s">
        <v>20</v>
      </c>
      <c r="L12" s="306" t="s">
        <v>20</v>
      </c>
      <c r="M12" s="306" t="s">
        <v>697</v>
      </c>
      <c r="N12" s="306" t="s">
        <v>20</v>
      </c>
      <c r="O12" s="306" t="s">
        <v>20</v>
      </c>
      <c r="P12" s="306" t="s">
        <v>813</v>
      </c>
      <c r="Q12" s="306" t="s">
        <v>20</v>
      </c>
      <c r="R12" s="306" t="s">
        <v>814</v>
      </c>
      <c r="S12" s="306" t="s">
        <v>20</v>
      </c>
      <c r="T12" s="306" t="s">
        <v>815</v>
      </c>
      <c r="U12" s="306" t="s">
        <v>20</v>
      </c>
      <c r="V12" s="306" t="s">
        <v>20</v>
      </c>
      <c r="W12" s="306">
        <v>10</v>
      </c>
      <c r="X12" s="306" t="s">
        <v>701</v>
      </c>
      <c r="Y12" t="s">
        <v>695</v>
      </c>
    </row>
    <row r="13" spans="1:29" x14ac:dyDescent="0.3">
      <c r="A13" s="306">
        <v>12</v>
      </c>
      <c r="B13" t="s">
        <v>686</v>
      </c>
      <c r="C13" s="306" t="s">
        <v>687</v>
      </c>
      <c r="D13" s="306" t="s">
        <v>680</v>
      </c>
      <c r="E13" s="307">
        <v>0.52777777777777779</v>
      </c>
      <c r="F13" s="307">
        <v>0.53472222222222221</v>
      </c>
      <c r="G13" s="306">
        <v>10</v>
      </c>
      <c r="H13" s="306" t="s">
        <v>500</v>
      </c>
      <c r="I13" s="306" t="s">
        <v>20</v>
      </c>
      <c r="J13" s="306" t="s">
        <v>20</v>
      </c>
      <c r="K13" s="306" t="s">
        <v>20</v>
      </c>
      <c r="L13" s="306" t="s">
        <v>20</v>
      </c>
      <c r="M13" s="306" t="s">
        <v>696</v>
      </c>
      <c r="N13" s="306" t="s">
        <v>20</v>
      </c>
      <c r="O13" s="306" t="s">
        <v>411</v>
      </c>
      <c r="P13" s="306" t="s">
        <v>816</v>
      </c>
      <c r="Q13" s="306" t="s">
        <v>20</v>
      </c>
      <c r="R13" s="306" t="s">
        <v>817</v>
      </c>
      <c r="S13" s="306" t="s">
        <v>20</v>
      </c>
      <c r="T13" s="306" t="s">
        <v>818</v>
      </c>
      <c r="U13" s="306" t="s">
        <v>411</v>
      </c>
      <c r="V13" s="306" t="s">
        <v>20</v>
      </c>
      <c r="W13" s="306">
        <v>10</v>
      </c>
      <c r="X13" s="306" t="s">
        <v>699</v>
      </c>
      <c r="Y13" s="306" t="s">
        <v>700</v>
      </c>
      <c r="Z13" s="306"/>
    </row>
    <row r="14" spans="1:29" x14ac:dyDescent="0.3">
      <c r="A14" s="306">
        <v>13</v>
      </c>
      <c r="B14" t="s">
        <v>670</v>
      </c>
      <c r="C14" s="306" t="s">
        <v>688</v>
      </c>
      <c r="D14" s="306" t="s">
        <v>674</v>
      </c>
      <c r="E14" s="306" t="s">
        <v>819</v>
      </c>
      <c r="F14" s="306" t="s">
        <v>820</v>
      </c>
      <c r="G14" s="306">
        <v>3</v>
      </c>
      <c r="H14" s="306" t="s">
        <v>500</v>
      </c>
      <c r="I14" s="306" t="s">
        <v>20</v>
      </c>
      <c r="J14" s="306" t="s">
        <v>20</v>
      </c>
      <c r="K14" s="306" t="s">
        <v>20</v>
      </c>
      <c r="L14" s="306" t="s">
        <v>411</v>
      </c>
      <c r="M14" s="306" t="s">
        <v>563</v>
      </c>
      <c r="N14" s="306" t="s">
        <v>411</v>
      </c>
      <c r="O14" s="306" t="s">
        <v>411</v>
      </c>
      <c r="P14" s="306" t="s">
        <v>816</v>
      </c>
      <c r="Q14" s="306" t="s">
        <v>411</v>
      </c>
      <c r="R14" s="306" t="s">
        <v>821</v>
      </c>
      <c r="S14" s="306" t="s">
        <v>411</v>
      </c>
      <c r="T14" s="306" t="s">
        <v>822</v>
      </c>
      <c r="U14" s="306" t="s">
        <v>411</v>
      </c>
      <c r="V14" s="306" t="s">
        <v>20</v>
      </c>
      <c r="W14" s="306">
        <v>5</v>
      </c>
      <c r="X14" s="306" t="s">
        <v>702</v>
      </c>
      <c r="Y14" s="306" t="s">
        <v>703</v>
      </c>
      <c r="Z14" s="306"/>
      <c r="AA14" s="306"/>
    </row>
    <row r="15" spans="1:29" x14ac:dyDescent="0.3">
      <c r="A15" s="306">
        <v>14</v>
      </c>
      <c r="B15" t="s">
        <v>520</v>
      </c>
      <c r="C15" s="306" t="s">
        <v>505</v>
      </c>
      <c r="D15" s="306" t="s">
        <v>689</v>
      </c>
      <c r="E15" s="306" t="s">
        <v>823</v>
      </c>
      <c r="F15" s="306" t="s">
        <v>824</v>
      </c>
      <c r="G15" s="306">
        <v>5</v>
      </c>
      <c r="H15" s="306" t="s">
        <v>500</v>
      </c>
      <c r="I15" s="306" t="s">
        <v>20</v>
      </c>
      <c r="J15" s="306" t="s">
        <v>20</v>
      </c>
      <c r="K15" s="306" t="s">
        <v>20</v>
      </c>
      <c r="L15" s="306" t="s">
        <v>20</v>
      </c>
      <c r="M15" s="306" t="s">
        <v>704</v>
      </c>
      <c r="N15" s="306" t="s">
        <v>20</v>
      </c>
      <c r="O15" s="306" t="s">
        <v>411</v>
      </c>
      <c r="P15" s="306" t="s">
        <v>591</v>
      </c>
      <c r="Q15" s="306" t="s">
        <v>20</v>
      </c>
      <c r="R15" s="306" t="s">
        <v>645</v>
      </c>
      <c r="S15" s="306" t="s">
        <v>411</v>
      </c>
      <c r="T15" s="306" t="s">
        <v>825</v>
      </c>
      <c r="U15" s="306" t="s">
        <v>411</v>
      </c>
      <c r="V15" s="306" t="s">
        <v>20</v>
      </c>
      <c r="W15" s="306">
        <v>8</v>
      </c>
      <c r="X15" s="306" t="s">
        <v>705</v>
      </c>
      <c r="Y15" s="306" t="s">
        <v>706</v>
      </c>
    </row>
    <row r="16" spans="1:29" x14ac:dyDescent="0.3">
      <c r="A16" s="306">
        <v>15</v>
      </c>
      <c r="B16" t="s">
        <v>520</v>
      </c>
      <c r="C16" s="306" t="s">
        <v>781</v>
      </c>
      <c r="D16" s="306" t="s">
        <v>780</v>
      </c>
      <c r="E16" s="306" t="s">
        <v>826</v>
      </c>
      <c r="F16" s="306" t="s">
        <v>827</v>
      </c>
      <c r="G16" s="306">
        <v>10</v>
      </c>
      <c r="H16" s="306" t="s">
        <v>500</v>
      </c>
      <c r="I16" s="306" t="s">
        <v>20</v>
      </c>
      <c r="J16" s="306" t="s">
        <v>20</v>
      </c>
      <c r="K16" s="306" t="s">
        <v>20</v>
      </c>
      <c r="L16" s="306" t="s">
        <v>20</v>
      </c>
      <c r="M16" s="306" t="s">
        <v>660</v>
      </c>
      <c r="N16" s="306" t="s">
        <v>20</v>
      </c>
      <c r="O16" s="306" t="s">
        <v>411</v>
      </c>
      <c r="P16" s="306" t="s">
        <v>816</v>
      </c>
      <c r="Q16" s="306" t="s">
        <v>20</v>
      </c>
      <c r="R16" s="306" t="s">
        <v>831</v>
      </c>
      <c r="S16" s="306" t="s">
        <v>20</v>
      </c>
      <c r="T16" s="306" t="s">
        <v>835</v>
      </c>
      <c r="U16" s="306" t="s">
        <v>411</v>
      </c>
      <c r="V16" s="306" t="s">
        <v>20</v>
      </c>
      <c r="W16" s="306">
        <v>10</v>
      </c>
      <c r="X16" s="306" t="s">
        <v>828</v>
      </c>
      <c r="Y16" s="306" t="s">
        <v>829</v>
      </c>
      <c r="Z16" s="306"/>
      <c r="AA16" s="306"/>
      <c r="AB16" s="306"/>
      <c r="AC16" s="306"/>
    </row>
    <row r="17" spans="1:25" x14ac:dyDescent="0.3">
      <c r="A17" s="306">
        <v>16</v>
      </c>
      <c r="B17" t="s">
        <v>537</v>
      </c>
      <c r="C17" s="306" t="s">
        <v>781</v>
      </c>
      <c r="D17" s="306" t="s">
        <v>728</v>
      </c>
      <c r="E17" s="306" t="s">
        <v>833</v>
      </c>
      <c r="F17" s="306" t="s">
        <v>834</v>
      </c>
      <c r="G17" s="306">
        <v>8</v>
      </c>
      <c r="H17" s="306" t="s">
        <v>500</v>
      </c>
      <c r="I17" s="306" t="s">
        <v>20</v>
      </c>
      <c r="J17" s="306" t="s">
        <v>20</v>
      </c>
      <c r="K17" s="306" t="s">
        <v>20</v>
      </c>
      <c r="L17" s="306" t="s">
        <v>20</v>
      </c>
      <c r="M17" s="306" t="s">
        <v>631</v>
      </c>
      <c r="N17" s="306" t="s">
        <v>20</v>
      </c>
      <c r="O17" s="306" t="s">
        <v>20</v>
      </c>
      <c r="P17" s="306" t="s">
        <v>830</v>
      </c>
      <c r="Q17" s="306" t="s">
        <v>20</v>
      </c>
      <c r="R17" s="306" t="s">
        <v>817</v>
      </c>
      <c r="S17" s="306" t="s">
        <v>20</v>
      </c>
      <c r="T17" s="306" t="s">
        <v>836</v>
      </c>
      <c r="U17" s="306" t="s">
        <v>411</v>
      </c>
      <c r="V17" t="s">
        <v>20</v>
      </c>
      <c r="W17" s="306">
        <v>9</v>
      </c>
      <c r="X17" t="s">
        <v>786</v>
      </c>
      <c r="Y17" t="s">
        <v>787</v>
      </c>
    </row>
    <row r="18" spans="1:25" x14ac:dyDescent="0.3">
      <c r="A18" s="306">
        <v>17</v>
      </c>
      <c r="B18" t="s">
        <v>539</v>
      </c>
      <c r="C18" s="306" t="s">
        <v>782</v>
      </c>
      <c r="D18" s="306" t="s">
        <v>783</v>
      </c>
      <c r="E18" s="306" t="s">
        <v>838</v>
      </c>
      <c r="F18" s="306" t="s">
        <v>837</v>
      </c>
      <c r="G18" s="306">
        <v>4</v>
      </c>
      <c r="H18" s="306" t="s">
        <v>500</v>
      </c>
      <c r="I18" s="306" t="s">
        <v>20</v>
      </c>
      <c r="J18" s="306" t="s">
        <v>20</v>
      </c>
      <c r="K18" s="306" t="s">
        <v>20</v>
      </c>
      <c r="L18" s="306" t="s">
        <v>20</v>
      </c>
      <c r="M18" s="306" t="s">
        <v>789</v>
      </c>
      <c r="N18" s="306" t="s">
        <v>20</v>
      </c>
      <c r="O18" s="306" t="s">
        <v>411</v>
      </c>
      <c r="P18" s="306" t="s">
        <v>581</v>
      </c>
      <c r="Q18" s="306" t="s">
        <v>20</v>
      </c>
      <c r="R18" s="306" t="s">
        <v>832</v>
      </c>
      <c r="S18" s="306" t="s">
        <v>411</v>
      </c>
      <c r="T18" s="306" t="s">
        <v>825</v>
      </c>
      <c r="U18" s="306" t="s">
        <v>411</v>
      </c>
      <c r="V18" t="s">
        <v>20</v>
      </c>
      <c r="W18" s="306">
        <v>9</v>
      </c>
      <c r="X18" s="306" t="s">
        <v>839</v>
      </c>
    </row>
    <row r="19" spans="1:25" x14ac:dyDescent="0.3">
      <c r="A19" s="306">
        <v>18</v>
      </c>
      <c r="B19" t="s">
        <v>784</v>
      </c>
      <c r="C19" s="306" t="s">
        <v>781</v>
      </c>
      <c r="D19" s="306" t="s">
        <v>728</v>
      </c>
      <c r="E19" s="306" t="s">
        <v>842</v>
      </c>
      <c r="F19" s="306" t="s">
        <v>843</v>
      </c>
      <c r="G19" s="306">
        <v>16</v>
      </c>
      <c r="H19" s="306" t="s">
        <v>500</v>
      </c>
      <c r="I19" s="306" t="s">
        <v>20</v>
      </c>
      <c r="J19" s="306" t="s">
        <v>20</v>
      </c>
      <c r="K19" s="306" t="s">
        <v>20</v>
      </c>
      <c r="L19" s="306" t="s">
        <v>20</v>
      </c>
      <c r="M19" s="306" t="s">
        <v>624</v>
      </c>
      <c r="N19" s="306" t="s">
        <v>20</v>
      </c>
      <c r="O19" s="306" t="s">
        <v>411</v>
      </c>
      <c r="P19" s="306" t="s">
        <v>591</v>
      </c>
      <c r="Q19" s="306" t="s">
        <v>20</v>
      </c>
      <c r="R19" s="306" t="s">
        <v>841</v>
      </c>
      <c r="S19" s="306" t="s">
        <v>20</v>
      </c>
      <c r="T19" s="306" t="s">
        <v>844</v>
      </c>
      <c r="U19" t="s">
        <v>411</v>
      </c>
      <c r="V19" t="s">
        <v>20</v>
      </c>
      <c r="W19" s="306">
        <v>9</v>
      </c>
      <c r="X19" t="s">
        <v>785</v>
      </c>
      <c r="Y19" t="s">
        <v>788</v>
      </c>
    </row>
    <row r="20" spans="1:25" x14ac:dyDescent="0.3">
      <c r="H20" s="306"/>
      <c r="I20" s="306"/>
      <c r="J20" s="306"/>
      <c r="K20" s="306"/>
      <c r="L20" s="306"/>
      <c r="M20" s="306"/>
      <c r="N20" s="306"/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CA56C-DD0A-4E0A-982F-0EA65FF0B586}">
  <sheetPr>
    <tabColor rgb="FFA8F4FA"/>
  </sheetPr>
  <dimension ref="A1:Q45"/>
  <sheetViews>
    <sheetView topLeftCell="B1" zoomScale="70" zoomScaleNormal="70" workbookViewId="0">
      <selection activeCell="C21" sqref="C21"/>
    </sheetView>
  </sheetViews>
  <sheetFormatPr defaultColWidth="9" defaultRowHeight="33.75" customHeight="1" x14ac:dyDescent="0.3"/>
  <cols>
    <col min="1" max="1" width="9" style="85" hidden="1" customWidth="1"/>
    <col min="2" max="2" width="31.33203125" style="261" customWidth="1"/>
    <col min="3" max="3" width="89.88671875" style="85" customWidth="1"/>
    <col min="4" max="4" width="76.109375" style="250" customWidth="1"/>
    <col min="5" max="5" width="27.5546875" style="250" customWidth="1"/>
    <col min="6" max="6" width="9" style="85"/>
    <col min="7" max="7" width="12.109375" style="85" customWidth="1"/>
    <col min="8" max="16384" width="9" style="85"/>
  </cols>
  <sheetData>
    <row r="1" spans="1:6" ht="15.6" x14ac:dyDescent="0.3">
      <c r="B1" s="276"/>
      <c r="C1" s="277" t="s">
        <v>17</v>
      </c>
      <c r="D1" s="277"/>
      <c r="E1" s="274">
        <v>0.1</v>
      </c>
      <c r="F1" s="277"/>
    </row>
    <row r="2" spans="1:6" ht="15.6" customHeight="1" x14ac:dyDescent="0.3">
      <c r="B2" s="343" t="s">
        <v>18</v>
      </c>
      <c r="C2" s="190" t="s">
        <v>21</v>
      </c>
      <c r="D2" s="240" t="s">
        <v>20</v>
      </c>
      <c r="E2" s="246">
        <v>0.4</v>
      </c>
      <c r="F2" s="265">
        <f>E1*E2</f>
        <v>4.0000000000000008E-2</v>
      </c>
    </row>
    <row r="3" spans="1:6" ht="15.6" customHeight="1" x14ac:dyDescent="0.3">
      <c r="B3" s="345"/>
      <c r="C3" s="190" t="s">
        <v>22</v>
      </c>
      <c r="D3" s="240" t="s">
        <v>20</v>
      </c>
      <c r="E3" s="246">
        <v>0.2</v>
      </c>
      <c r="F3" s="265">
        <f>E1*E3</f>
        <v>2.0000000000000004E-2</v>
      </c>
    </row>
    <row r="4" spans="1:6" ht="15.6" customHeight="1" x14ac:dyDescent="0.3">
      <c r="B4" s="345"/>
      <c r="C4" s="190" t="s">
        <v>272</v>
      </c>
      <c r="D4" s="240" t="s">
        <v>20</v>
      </c>
      <c r="E4" s="246">
        <v>0.2</v>
      </c>
      <c r="F4" s="265">
        <f>E1*E4</f>
        <v>2.0000000000000004E-2</v>
      </c>
    </row>
    <row r="5" spans="1:6" ht="15.6" customHeight="1" x14ac:dyDescent="0.3">
      <c r="B5" s="344"/>
      <c r="C5" s="190" t="s">
        <v>23</v>
      </c>
      <c r="D5" s="240" t="s">
        <v>20</v>
      </c>
      <c r="E5" s="246">
        <v>0.2</v>
      </c>
      <c r="F5" s="265">
        <f>E1*E5</f>
        <v>2.0000000000000004E-2</v>
      </c>
    </row>
    <row r="6" spans="1:6" ht="15.6" x14ac:dyDescent="0.3">
      <c r="B6" s="276"/>
      <c r="C6" s="278" t="s">
        <v>350</v>
      </c>
      <c r="D6" s="278"/>
      <c r="E6" s="279">
        <v>0.25</v>
      </c>
      <c r="F6" s="277"/>
    </row>
    <row r="7" spans="1:6" ht="15.6" x14ac:dyDescent="0.3">
      <c r="B7" s="343" t="s">
        <v>61</v>
      </c>
      <c r="C7" s="197" t="s">
        <v>393</v>
      </c>
      <c r="D7" s="240" t="s">
        <v>20</v>
      </c>
      <c r="E7" s="246">
        <v>0.6</v>
      </c>
      <c r="F7" s="265">
        <f>E6*E7</f>
        <v>0.15</v>
      </c>
    </row>
    <row r="8" spans="1:6" ht="15.6" x14ac:dyDescent="0.3">
      <c r="B8" s="344"/>
      <c r="C8" s="197" t="s">
        <v>380</v>
      </c>
      <c r="D8" s="240" t="s">
        <v>20</v>
      </c>
      <c r="E8" s="246">
        <v>0.4</v>
      </c>
      <c r="F8" s="265">
        <f>E6*E8</f>
        <v>0.1</v>
      </c>
    </row>
    <row r="9" spans="1:6" ht="31.2" x14ac:dyDescent="0.3">
      <c r="B9" s="280"/>
      <c r="C9" s="278" t="s">
        <v>351</v>
      </c>
      <c r="D9" s="278"/>
      <c r="E9" s="281">
        <v>0.3</v>
      </c>
      <c r="F9" s="277"/>
    </row>
    <row r="10" spans="1:6" ht="31.2" x14ac:dyDescent="0.3">
      <c r="A10" s="85" t="s">
        <v>352</v>
      </c>
      <c r="B10" s="343" t="s">
        <v>280</v>
      </c>
      <c r="C10" s="190" t="s">
        <v>426</v>
      </c>
      <c r="D10" s="240" t="s">
        <v>20</v>
      </c>
      <c r="E10" s="246">
        <v>0.1</v>
      </c>
      <c r="F10" s="265">
        <f>E9*E10</f>
        <v>0.03</v>
      </c>
    </row>
    <row r="11" spans="1:6" ht="31.2" x14ac:dyDescent="0.3">
      <c r="B11" s="344"/>
      <c r="C11" s="190" t="s">
        <v>403</v>
      </c>
      <c r="D11" s="240" t="s">
        <v>20</v>
      </c>
      <c r="E11" s="246">
        <v>0.1</v>
      </c>
      <c r="F11" s="265">
        <f>E9*E11</f>
        <v>0.03</v>
      </c>
    </row>
    <row r="12" spans="1:6" ht="34.5" customHeight="1" x14ac:dyDescent="0.3">
      <c r="B12" s="343" t="s">
        <v>377</v>
      </c>
      <c r="C12" s="161" t="s">
        <v>427</v>
      </c>
      <c r="D12" s="245" t="s">
        <v>20</v>
      </c>
      <c r="E12" s="246">
        <v>0.04</v>
      </c>
      <c r="F12" s="265">
        <f>E9*E12</f>
        <v>1.2E-2</v>
      </c>
    </row>
    <row r="13" spans="1:6" ht="34.5" customHeight="1" x14ac:dyDescent="0.3">
      <c r="B13" s="345"/>
      <c r="C13" s="161" t="s">
        <v>428</v>
      </c>
      <c r="D13" s="245" t="s">
        <v>20</v>
      </c>
      <c r="E13" s="246">
        <v>0.05</v>
      </c>
      <c r="F13" s="265">
        <f>E9*E13</f>
        <v>1.4999999999999999E-2</v>
      </c>
    </row>
    <row r="14" spans="1:6" ht="15.6" customHeight="1" x14ac:dyDescent="0.3">
      <c r="B14" s="345"/>
      <c r="C14" s="161" t="s">
        <v>429</v>
      </c>
      <c r="D14" s="245" t="s">
        <v>20</v>
      </c>
      <c r="E14" s="246">
        <v>0.08</v>
      </c>
      <c r="F14" s="265">
        <f>E9*E14</f>
        <v>2.4E-2</v>
      </c>
    </row>
    <row r="15" spans="1:6" ht="15.6" x14ac:dyDescent="0.3">
      <c r="B15" s="345"/>
      <c r="C15" s="161" t="s">
        <v>430</v>
      </c>
      <c r="D15" s="245" t="s">
        <v>20</v>
      </c>
      <c r="E15" s="246">
        <v>0.1</v>
      </c>
      <c r="F15" s="265">
        <f>E9*E15</f>
        <v>0.03</v>
      </c>
    </row>
    <row r="16" spans="1:6" ht="15.6" x14ac:dyDescent="0.3">
      <c r="B16" s="345"/>
      <c r="C16" s="161" t="s">
        <v>45</v>
      </c>
      <c r="D16" s="245" t="s">
        <v>20</v>
      </c>
      <c r="E16" s="246">
        <v>0.1</v>
      </c>
      <c r="F16" s="265">
        <f>E9*E16</f>
        <v>0.03</v>
      </c>
    </row>
    <row r="17" spans="2:12" ht="15.6" x14ac:dyDescent="0.3">
      <c r="B17" s="345"/>
      <c r="C17" s="161" t="s">
        <v>431</v>
      </c>
      <c r="D17" s="245" t="s">
        <v>20</v>
      </c>
      <c r="E17" s="246">
        <v>0.06</v>
      </c>
      <c r="F17" s="265">
        <f>E9*E17</f>
        <v>1.7999999999999999E-2</v>
      </c>
    </row>
    <row r="18" spans="2:12" ht="15.6" x14ac:dyDescent="0.3">
      <c r="B18" s="344"/>
      <c r="C18" s="161" t="s">
        <v>432</v>
      </c>
      <c r="D18" s="245" t="s">
        <v>20</v>
      </c>
      <c r="E18" s="246">
        <v>7.0000000000000007E-2</v>
      </c>
      <c r="F18" s="265">
        <f>E9*E18</f>
        <v>2.1000000000000001E-2</v>
      </c>
    </row>
    <row r="19" spans="2:12" ht="31.2" x14ac:dyDescent="0.3">
      <c r="B19" s="343" t="s">
        <v>371</v>
      </c>
      <c r="C19" s="190" t="s">
        <v>417</v>
      </c>
      <c r="D19" s="245" t="s">
        <v>20</v>
      </c>
      <c r="E19" s="246">
        <v>0.08</v>
      </c>
      <c r="F19" s="265">
        <f>E9*E19</f>
        <v>2.4E-2</v>
      </c>
      <c r="G19" s="337"/>
      <c r="H19" s="337"/>
      <c r="I19" s="337"/>
      <c r="L19" s="250"/>
    </row>
    <row r="20" spans="2:12" ht="15.6" x14ac:dyDescent="0.3">
      <c r="B20" s="345"/>
      <c r="C20" s="190" t="s">
        <v>418</v>
      </c>
      <c r="D20" s="245" t="s">
        <v>20</v>
      </c>
      <c r="E20" s="246">
        <v>0.08</v>
      </c>
      <c r="F20" s="265">
        <f>E9*E20</f>
        <v>2.4E-2</v>
      </c>
      <c r="G20" s="251"/>
      <c r="H20" s="251"/>
      <c r="I20" s="251"/>
      <c r="L20" s="250"/>
    </row>
    <row r="21" spans="2:12" ht="15.6" x14ac:dyDescent="0.3">
      <c r="B21" s="345"/>
      <c r="C21" s="190" t="s">
        <v>356</v>
      </c>
      <c r="D21" s="240" t="s">
        <v>20</v>
      </c>
      <c r="E21" s="246">
        <v>7.0000000000000007E-2</v>
      </c>
      <c r="F21" s="265">
        <f>E9*E21</f>
        <v>2.1000000000000001E-2</v>
      </c>
      <c r="G21" s="251"/>
      <c r="H21" s="251"/>
      <c r="I21" s="251"/>
      <c r="L21" s="250"/>
    </row>
    <row r="22" spans="2:12" ht="15.6" x14ac:dyDescent="0.3">
      <c r="B22" s="345"/>
      <c r="C22" s="190" t="s">
        <v>438</v>
      </c>
      <c r="D22" s="240" t="s">
        <v>20</v>
      </c>
      <c r="E22" s="246">
        <v>7.0000000000000007E-2</v>
      </c>
      <c r="F22" s="265">
        <f>E9*E22</f>
        <v>2.1000000000000001E-2</v>
      </c>
      <c r="G22" s="251"/>
      <c r="H22" s="251"/>
      <c r="I22" s="251"/>
      <c r="L22" s="250"/>
    </row>
    <row r="23" spans="2:12" ht="15.6" x14ac:dyDescent="0.3">
      <c r="B23" s="293"/>
      <c r="C23" s="293"/>
      <c r="D23" s="294"/>
      <c r="E23" s="281">
        <v>0.05</v>
      </c>
      <c r="F23" s="295"/>
    </row>
    <row r="24" spans="2:12" ht="15.6" x14ac:dyDescent="0.3">
      <c r="B24" s="338" t="s">
        <v>288</v>
      </c>
      <c r="C24" s="161" t="s">
        <v>372</v>
      </c>
      <c r="D24" s="240" t="s">
        <v>20</v>
      </c>
      <c r="E24" s="246">
        <v>0.3</v>
      </c>
      <c r="F24" s="265">
        <f>E23*E24</f>
        <v>1.4999999999999999E-2</v>
      </c>
    </row>
    <row r="25" spans="2:12" ht="15.6" x14ac:dyDescent="0.3">
      <c r="B25" s="339"/>
      <c r="C25" s="161" t="s">
        <v>353</v>
      </c>
      <c r="D25" s="240" t="s">
        <v>20</v>
      </c>
      <c r="E25" s="246">
        <v>0.25</v>
      </c>
      <c r="F25" s="265">
        <f>E23*E25</f>
        <v>1.2500000000000001E-2</v>
      </c>
    </row>
    <row r="26" spans="2:12" ht="15.6" x14ac:dyDescent="0.3">
      <c r="B26" s="339"/>
      <c r="C26" s="190" t="s">
        <v>433</v>
      </c>
      <c r="D26" s="240" t="s">
        <v>20</v>
      </c>
      <c r="E26" s="246">
        <v>0.2</v>
      </c>
      <c r="F26" s="265">
        <f>E23*E26</f>
        <v>1.0000000000000002E-2</v>
      </c>
    </row>
    <row r="27" spans="2:12" ht="31.2" x14ac:dyDescent="0.3">
      <c r="B27" s="339"/>
      <c r="C27" s="190" t="s">
        <v>361</v>
      </c>
      <c r="D27" s="240" t="s">
        <v>20</v>
      </c>
      <c r="E27" s="246">
        <v>0.15</v>
      </c>
      <c r="F27" s="265">
        <f>E23*E27</f>
        <v>7.4999999999999997E-3</v>
      </c>
    </row>
    <row r="28" spans="2:12" ht="15.6" x14ac:dyDescent="0.3">
      <c r="B28" s="339"/>
      <c r="C28" s="190" t="s">
        <v>434</v>
      </c>
      <c r="D28" s="240" t="s">
        <v>20</v>
      </c>
      <c r="E28" s="246">
        <v>0.1</v>
      </c>
      <c r="F28" s="265">
        <f>E23*E28</f>
        <v>5.000000000000001E-3</v>
      </c>
    </row>
    <row r="29" spans="2:12" ht="15.6" x14ac:dyDescent="0.3">
      <c r="B29" s="282"/>
      <c r="C29" s="283"/>
      <c r="D29" s="284"/>
      <c r="E29" s="279">
        <v>0.2</v>
      </c>
      <c r="F29" s="277"/>
    </row>
    <row r="30" spans="2:12" ht="15.6" x14ac:dyDescent="0.3">
      <c r="B30" s="339" t="s">
        <v>373</v>
      </c>
      <c r="C30" s="190" t="s">
        <v>435</v>
      </c>
      <c r="D30" s="245"/>
      <c r="E30" s="246">
        <v>0.25</v>
      </c>
      <c r="F30" s="265">
        <f>E29*E30</f>
        <v>0.05</v>
      </c>
    </row>
    <row r="31" spans="2:12" ht="15.6" x14ac:dyDescent="0.3">
      <c r="B31" s="339"/>
      <c r="C31" s="190" t="s">
        <v>358</v>
      </c>
      <c r="D31" s="245"/>
      <c r="E31" s="254">
        <v>0.25</v>
      </c>
      <c r="F31" s="265">
        <f>E29*E31</f>
        <v>0.05</v>
      </c>
    </row>
    <row r="32" spans="2:12" ht="15.6" x14ac:dyDescent="0.3">
      <c r="B32" s="339"/>
      <c r="C32" s="190" t="s">
        <v>422</v>
      </c>
      <c r="D32" s="245"/>
      <c r="E32" s="254"/>
      <c r="F32" s="265"/>
    </row>
    <row r="33" spans="2:17" ht="31.2" x14ac:dyDescent="0.3">
      <c r="B33" s="339"/>
      <c r="C33" s="247" t="s">
        <v>436</v>
      </c>
      <c r="D33" s="245"/>
      <c r="E33" s="340">
        <v>0.25</v>
      </c>
      <c r="F33" s="265">
        <f>E29*E33</f>
        <v>0.05</v>
      </c>
    </row>
    <row r="34" spans="2:17" ht="31.2" x14ac:dyDescent="0.3">
      <c r="B34" s="339"/>
      <c r="C34" s="190" t="s">
        <v>424</v>
      </c>
      <c r="D34" s="245"/>
      <c r="E34" s="341"/>
      <c r="F34" s="265"/>
    </row>
    <row r="35" spans="2:17" ht="46.8" x14ac:dyDescent="0.3">
      <c r="B35" s="339"/>
      <c r="C35" s="190" t="s">
        <v>407</v>
      </c>
      <c r="D35" s="245"/>
      <c r="E35" s="340">
        <v>0.25</v>
      </c>
      <c r="F35" s="265">
        <v>3.2000000000000001E-2</v>
      </c>
    </row>
    <row r="36" spans="2:17" ht="78" x14ac:dyDescent="0.3">
      <c r="B36" s="339"/>
      <c r="C36" s="190" t="s">
        <v>425</v>
      </c>
      <c r="D36" s="245"/>
      <c r="E36" s="342"/>
      <c r="F36" s="265"/>
    </row>
    <row r="37" spans="2:17" ht="46.8" x14ac:dyDescent="0.3">
      <c r="B37" s="339"/>
      <c r="C37" s="190" t="s">
        <v>408</v>
      </c>
      <c r="D37" s="245"/>
      <c r="E37" s="341"/>
      <c r="F37" s="265"/>
    </row>
    <row r="38" spans="2:17" ht="31.2" x14ac:dyDescent="0.3">
      <c r="B38" s="339"/>
      <c r="C38" s="197" t="s">
        <v>406</v>
      </c>
      <c r="D38" s="245"/>
      <c r="E38" s="254"/>
      <c r="F38" s="265"/>
    </row>
    <row r="39" spans="2:17" ht="15.6" x14ac:dyDescent="0.3">
      <c r="B39" s="285"/>
      <c r="C39" s="283"/>
      <c r="D39" s="284"/>
      <c r="E39" s="286">
        <v>0.1</v>
      </c>
      <c r="F39" s="277"/>
    </row>
    <row r="40" spans="2:17" ht="31.2" x14ac:dyDescent="0.3">
      <c r="B40" s="142" t="s">
        <v>282</v>
      </c>
      <c r="C40" s="190" t="s">
        <v>53</v>
      </c>
      <c r="D40" s="240" t="s">
        <v>20</v>
      </c>
      <c r="E40" s="257">
        <v>1</v>
      </c>
      <c r="F40" s="265">
        <v>0.1</v>
      </c>
    </row>
    <row r="41" spans="2:17" ht="15.6" x14ac:dyDescent="0.3">
      <c r="B41" s="185"/>
      <c r="C41" s="271"/>
      <c r="D41" s="272"/>
      <c r="E41" s="273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</row>
    <row r="42" spans="2:17" ht="15.6" x14ac:dyDescent="0.3">
      <c r="B42" s="185"/>
      <c r="C42" s="271"/>
      <c r="D42" s="272"/>
      <c r="E42" s="273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</row>
    <row r="43" spans="2:17" ht="33.75" customHeight="1" x14ac:dyDescent="0.3">
      <c r="C43" s="174" t="s">
        <v>58</v>
      </c>
      <c r="D43" s="174"/>
      <c r="E43" s="264"/>
      <c r="F43" s="263"/>
    </row>
    <row r="44" spans="2:17" ht="33.75" customHeight="1" x14ac:dyDescent="0.3">
      <c r="B44" s="262"/>
      <c r="C44" s="83" t="s">
        <v>59</v>
      </c>
      <c r="D44" s="123">
        <v>10</v>
      </c>
      <c r="E44" s="264"/>
      <c r="F44" s="263"/>
    </row>
    <row r="45" spans="2:17" ht="33.75" customHeight="1" x14ac:dyDescent="0.3">
      <c r="C45" s="89" t="s">
        <v>60</v>
      </c>
      <c r="D45" s="96"/>
      <c r="E45" s="264"/>
      <c r="F45" s="263"/>
    </row>
  </sheetData>
  <mergeCells count="10">
    <mergeCell ref="B10:B11"/>
    <mergeCell ref="B19:B22"/>
    <mergeCell ref="B12:B18"/>
    <mergeCell ref="B7:B8"/>
    <mergeCell ref="B2:B5"/>
    <mergeCell ref="G19:I19"/>
    <mergeCell ref="B24:B28"/>
    <mergeCell ref="B30:B38"/>
    <mergeCell ref="E33:E34"/>
    <mergeCell ref="E35:E37"/>
  </mergeCells>
  <dataValidations disablePrompts="1" count="1">
    <dataValidation type="list" allowBlank="1" showInputMessage="1" showErrorMessage="1" sqref="D44" xr:uid="{BE165334-6CBD-44E8-B9DB-7E51800F3652}">
      <formula1>"0, 1, 2, 3, 4, 5, 6, 7, 8, 9, 10"</formula1>
    </dataValidation>
  </dataValidation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C0708-210B-4A59-BB87-BEE7C5348478}">
  <sheetPr>
    <tabColor rgb="FFA8F4FA"/>
  </sheetPr>
  <dimension ref="A1:R47"/>
  <sheetViews>
    <sheetView topLeftCell="B26" zoomScale="70" zoomScaleNormal="70" workbookViewId="0">
      <selection activeCell="C33" sqref="C33"/>
    </sheetView>
  </sheetViews>
  <sheetFormatPr defaultColWidth="9" defaultRowHeight="33.75" customHeight="1" x14ac:dyDescent="0.3"/>
  <cols>
    <col min="1" max="1" width="9" style="85" hidden="1" customWidth="1"/>
    <col min="2" max="2" width="31.33203125" style="261" customWidth="1"/>
    <col min="3" max="3" width="89.88671875" style="85" customWidth="1"/>
    <col min="4" max="4" width="76.109375" style="250" customWidth="1"/>
    <col min="5" max="5" width="27.5546875" style="250" customWidth="1"/>
    <col min="6" max="6" width="13.44140625" style="85" customWidth="1"/>
    <col min="7" max="7" width="10.88671875" style="85" customWidth="1"/>
    <col min="8" max="8" width="12.109375" style="85" customWidth="1"/>
    <col min="9" max="16384" width="9" style="85"/>
  </cols>
  <sheetData>
    <row r="1" spans="1:6" ht="15.6" x14ac:dyDescent="0.3">
      <c r="B1" s="277"/>
      <c r="C1" s="277" t="s">
        <v>17</v>
      </c>
      <c r="D1" s="277"/>
      <c r="E1" s="296">
        <v>0.1</v>
      </c>
      <c r="F1" s="277"/>
    </row>
    <row r="2" spans="1:6" ht="15.6" customHeight="1" x14ac:dyDescent="0.3">
      <c r="B2" s="346" t="s">
        <v>18</v>
      </c>
      <c r="C2" s="190" t="s">
        <v>21</v>
      </c>
      <c r="D2" s="240" t="s">
        <v>20</v>
      </c>
      <c r="E2" s="246">
        <v>0.4</v>
      </c>
      <c r="F2" s="265">
        <f>E1*E2</f>
        <v>4.0000000000000008E-2</v>
      </c>
    </row>
    <row r="3" spans="1:6" ht="15.6" customHeight="1" x14ac:dyDescent="0.3">
      <c r="B3" s="346"/>
      <c r="C3" s="190" t="s">
        <v>22</v>
      </c>
      <c r="D3" s="240" t="s">
        <v>20</v>
      </c>
      <c r="E3" s="246">
        <v>0.2</v>
      </c>
      <c r="F3" s="265">
        <f>E1*E3</f>
        <v>2.0000000000000004E-2</v>
      </c>
    </row>
    <row r="4" spans="1:6" ht="15.6" customHeight="1" x14ac:dyDescent="0.3">
      <c r="B4" s="346"/>
      <c r="C4" s="190" t="s">
        <v>272</v>
      </c>
      <c r="D4" s="240" t="s">
        <v>20</v>
      </c>
      <c r="E4" s="246">
        <v>0.2</v>
      </c>
      <c r="F4" s="265">
        <f>E1*E4</f>
        <v>2.0000000000000004E-2</v>
      </c>
    </row>
    <row r="5" spans="1:6" ht="15.6" customHeight="1" x14ac:dyDescent="0.3">
      <c r="B5" s="346"/>
      <c r="C5" s="190" t="s">
        <v>23</v>
      </c>
      <c r="D5" s="240" t="s">
        <v>20</v>
      </c>
      <c r="E5" s="246">
        <v>0.2</v>
      </c>
      <c r="F5" s="265">
        <f>E1*E5</f>
        <v>2.0000000000000004E-2</v>
      </c>
    </row>
    <row r="6" spans="1:6" ht="15.6" x14ac:dyDescent="0.3">
      <c r="B6" s="276"/>
      <c r="C6" s="278" t="s">
        <v>350</v>
      </c>
      <c r="D6" s="278"/>
      <c r="E6" s="279">
        <v>0.25</v>
      </c>
      <c r="F6" s="292"/>
    </row>
    <row r="7" spans="1:6" ht="15.6" x14ac:dyDescent="0.3">
      <c r="B7" s="343" t="s">
        <v>61</v>
      </c>
      <c r="C7" s="197" t="s">
        <v>393</v>
      </c>
      <c r="D7" s="240" t="s">
        <v>20</v>
      </c>
      <c r="E7" s="246">
        <v>0.6</v>
      </c>
      <c r="F7" s="265">
        <f>E6*E7</f>
        <v>0.15</v>
      </c>
    </row>
    <row r="8" spans="1:6" ht="15.6" x14ac:dyDescent="0.3">
      <c r="B8" s="345"/>
      <c r="C8" s="197" t="s">
        <v>380</v>
      </c>
      <c r="D8" s="240" t="s">
        <v>20</v>
      </c>
      <c r="E8" s="246">
        <v>0.4</v>
      </c>
      <c r="F8" s="265">
        <f>E6*E8</f>
        <v>0.1</v>
      </c>
    </row>
    <row r="9" spans="1:6" ht="31.2" x14ac:dyDescent="0.3">
      <c r="B9" s="280"/>
      <c r="C9" s="278" t="s">
        <v>351</v>
      </c>
      <c r="D9" s="278"/>
      <c r="E9" s="281">
        <v>0.3</v>
      </c>
      <c r="F9" s="292"/>
    </row>
    <row r="10" spans="1:6" ht="31.2" x14ac:dyDescent="0.3">
      <c r="A10" s="85" t="s">
        <v>352</v>
      </c>
      <c r="B10" s="343" t="s">
        <v>280</v>
      </c>
      <c r="C10" s="190" t="s">
        <v>402</v>
      </c>
      <c r="D10" s="240" t="s">
        <v>20</v>
      </c>
      <c r="E10" s="246">
        <v>0.1</v>
      </c>
      <c r="F10" s="265">
        <f>E9*E10</f>
        <v>0.03</v>
      </c>
    </row>
    <row r="11" spans="1:6" ht="31.2" x14ac:dyDescent="0.3">
      <c r="B11" s="344"/>
      <c r="C11" s="190" t="s">
        <v>403</v>
      </c>
      <c r="D11" s="240" t="s">
        <v>20</v>
      </c>
      <c r="E11" s="246">
        <v>0.1</v>
      </c>
      <c r="F11" s="265">
        <f>E9*E11</f>
        <v>0.03</v>
      </c>
    </row>
    <row r="12" spans="1:6" ht="15.6" customHeight="1" x14ac:dyDescent="0.3">
      <c r="B12" s="343" t="s">
        <v>377</v>
      </c>
      <c r="C12" s="161" t="s">
        <v>427</v>
      </c>
      <c r="D12" s="245" t="s">
        <v>20</v>
      </c>
      <c r="E12" s="246">
        <v>0.04</v>
      </c>
      <c r="F12" s="265">
        <f>E9*E12</f>
        <v>1.2E-2</v>
      </c>
    </row>
    <row r="13" spans="1:6" ht="34.5" customHeight="1" x14ac:dyDescent="0.3">
      <c r="B13" s="345"/>
      <c r="C13" s="161" t="s">
        <v>428</v>
      </c>
      <c r="D13" s="245" t="s">
        <v>20</v>
      </c>
      <c r="E13" s="246">
        <v>0.05</v>
      </c>
      <c r="F13" s="265">
        <f>E9*E13</f>
        <v>1.4999999999999999E-2</v>
      </c>
    </row>
    <row r="14" spans="1:6" ht="15.6" customHeight="1" x14ac:dyDescent="0.3">
      <c r="B14" s="345"/>
      <c r="C14" s="161" t="s">
        <v>437</v>
      </c>
      <c r="D14" s="245" t="s">
        <v>20</v>
      </c>
      <c r="E14" s="246">
        <v>0.08</v>
      </c>
      <c r="F14" s="265">
        <f>E9*E14</f>
        <v>2.4E-2</v>
      </c>
    </row>
    <row r="15" spans="1:6" ht="15.6" x14ac:dyDescent="0.3">
      <c r="B15" s="345"/>
      <c r="C15" s="161" t="s">
        <v>430</v>
      </c>
      <c r="D15" s="245" t="s">
        <v>20</v>
      </c>
      <c r="E15" s="246">
        <v>0.1</v>
      </c>
      <c r="F15" s="265">
        <f>E9*E15</f>
        <v>0.03</v>
      </c>
    </row>
    <row r="16" spans="1:6" ht="15.6" x14ac:dyDescent="0.3">
      <c r="B16" s="345"/>
      <c r="C16" s="161" t="s">
        <v>45</v>
      </c>
      <c r="D16" s="245" t="s">
        <v>20</v>
      </c>
      <c r="E16" s="246">
        <v>0.1</v>
      </c>
      <c r="F16" s="265">
        <f>E9*E16</f>
        <v>0.03</v>
      </c>
    </row>
    <row r="17" spans="2:13" ht="15.6" x14ac:dyDescent="0.3">
      <c r="B17" s="345"/>
      <c r="C17" s="161" t="s">
        <v>431</v>
      </c>
      <c r="D17" s="245" t="s">
        <v>20</v>
      </c>
      <c r="E17" s="246">
        <v>0.06</v>
      </c>
      <c r="F17" s="265">
        <f>E9*E17</f>
        <v>1.7999999999999999E-2</v>
      </c>
    </row>
    <row r="18" spans="2:13" ht="15.6" x14ac:dyDescent="0.3">
      <c r="B18" s="344"/>
      <c r="C18" s="161" t="s">
        <v>432</v>
      </c>
      <c r="D18" s="245" t="s">
        <v>20</v>
      </c>
      <c r="E18" s="246">
        <v>7.0000000000000007E-2</v>
      </c>
      <c r="F18" s="265">
        <f>E9*E18</f>
        <v>2.1000000000000001E-2</v>
      </c>
    </row>
    <row r="19" spans="2:13" ht="31.2" x14ac:dyDescent="0.3">
      <c r="B19" s="343" t="s">
        <v>371</v>
      </c>
      <c r="C19" s="190" t="s">
        <v>273</v>
      </c>
      <c r="D19" s="245" t="s">
        <v>20</v>
      </c>
      <c r="E19" s="246">
        <v>0.08</v>
      </c>
      <c r="F19" s="265">
        <f>E9*E19</f>
        <v>2.4E-2</v>
      </c>
      <c r="H19" s="337"/>
      <c r="I19" s="337"/>
      <c r="J19" s="337"/>
      <c r="M19" s="250"/>
    </row>
    <row r="20" spans="2:13" ht="15.6" x14ac:dyDescent="0.3">
      <c r="B20" s="345"/>
      <c r="C20" s="190" t="s">
        <v>328</v>
      </c>
      <c r="D20" s="245" t="s">
        <v>20</v>
      </c>
      <c r="E20" s="246">
        <v>0.08</v>
      </c>
      <c r="F20" s="265">
        <f>E9*E20</f>
        <v>2.4E-2</v>
      </c>
      <c r="H20" s="251"/>
      <c r="I20" s="251"/>
      <c r="J20" s="251"/>
      <c r="M20" s="250"/>
    </row>
    <row r="21" spans="2:13" ht="15.6" x14ac:dyDescent="0.3">
      <c r="B21" s="345"/>
      <c r="C21" s="190" t="s">
        <v>356</v>
      </c>
      <c r="D21" s="240" t="s">
        <v>20</v>
      </c>
      <c r="E21" s="246">
        <v>7.0000000000000007E-2</v>
      </c>
      <c r="F21" s="265">
        <f>E9*E21</f>
        <v>2.1000000000000001E-2</v>
      </c>
      <c r="H21" s="251"/>
      <c r="I21" s="251"/>
      <c r="J21" s="251"/>
      <c r="M21" s="250"/>
    </row>
    <row r="22" spans="2:13" ht="15.6" x14ac:dyDescent="0.3">
      <c r="B22" s="345"/>
      <c r="C22" s="190" t="s">
        <v>438</v>
      </c>
      <c r="D22" s="240" t="s">
        <v>20</v>
      </c>
      <c r="E22" s="246">
        <v>7.0000000000000007E-2</v>
      </c>
      <c r="F22" s="265">
        <f>E9*E22</f>
        <v>2.1000000000000001E-2</v>
      </c>
      <c r="H22" s="251"/>
      <c r="I22" s="251"/>
      <c r="J22" s="251"/>
      <c r="M22" s="250"/>
    </row>
    <row r="23" spans="2:13" ht="15.6" x14ac:dyDescent="0.3">
      <c r="B23" s="293"/>
      <c r="C23" s="293"/>
      <c r="D23" s="294"/>
      <c r="E23" s="281">
        <v>0.05</v>
      </c>
      <c r="F23" s="275"/>
    </row>
    <row r="24" spans="2:13" ht="15.6" x14ac:dyDescent="0.3">
      <c r="B24" s="338" t="s">
        <v>288</v>
      </c>
      <c r="C24" s="161" t="s">
        <v>372</v>
      </c>
      <c r="D24" s="240" t="s">
        <v>20</v>
      </c>
      <c r="E24" s="246">
        <v>0.3</v>
      </c>
      <c r="F24" s="265">
        <f>E23*E24</f>
        <v>1.4999999999999999E-2</v>
      </c>
    </row>
    <row r="25" spans="2:13" ht="15.6" x14ac:dyDescent="0.3">
      <c r="B25" s="347"/>
      <c r="C25" s="161" t="s">
        <v>353</v>
      </c>
      <c r="D25" s="240" t="s">
        <v>20</v>
      </c>
      <c r="E25" s="246">
        <v>0.25</v>
      </c>
      <c r="F25" s="265">
        <f>E23*E25</f>
        <v>1.2500000000000001E-2</v>
      </c>
    </row>
    <row r="26" spans="2:13" ht="15.6" x14ac:dyDescent="0.3">
      <c r="B26" s="347"/>
      <c r="C26" s="190" t="s">
        <v>433</v>
      </c>
      <c r="D26" s="240" t="s">
        <v>20</v>
      </c>
      <c r="E26" s="246">
        <v>0.2</v>
      </c>
      <c r="F26" s="265">
        <f>E23*E26</f>
        <v>1.0000000000000002E-2</v>
      </c>
    </row>
    <row r="27" spans="2:13" ht="31.2" x14ac:dyDescent="0.3">
      <c r="B27" s="347"/>
      <c r="C27" s="190" t="s">
        <v>361</v>
      </c>
      <c r="D27" s="240" t="s">
        <v>20</v>
      </c>
      <c r="E27" s="246">
        <v>0.15</v>
      </c>
      <c r="F27" s="265">
        <f>E23*E27</f>
        <v>7.4999999999999997E-3</v>
      </c>
    </row>
    <row r="28" spans="2:13" ht="15.6" x14ac:dyDescent="0.3">
      <c r="B28" s="348"/>
      <c r="C28" s="190" t="s">
        <v>434</v>
      </c>
      <c r="D28" s="240" t="s">
        <v>20</v>
      </c>
      <c r="E28" s="246">
        <v>0.1</v>
      </c>
      <c r="F28" s="265">
        <f>E23*E28</f>
        <v>5.000000000000001E-3</v>
      </c>
    </row>
    <row r="29" spans="2:13" ht="15.6" x14ac:dyDescent="0.3">
      <c r="B29" s="282"/>
      <c r="C29" s="283"/>
      <c r="D29" s="284"/>
      <c r="E29" s="279">
        <v>0.2</v>
      </c>
      <c r="F29" s="275"/>
    </row>
    <row r="30" spans="2:13" ht="15.6" x14ac:dyDescent="0.3">
      <c r="B30" s="339" t="s">
        <v>373</v>
      </c>
      <c r="C30" s="190" t="s">
        <v>435</v>
      </c>
      <c r="D30" s="240" t="s">
        <v>20</v>
      </c>
      <c r="E30" s="246">
        <v>0.25</v>
      </c>
      <c r="F30" s="265">
        <f>E29*E30</f>
        <v>0.05</v>
      </c>
    </row>
    <row r="31" spans="2:13" ht="15.6" x14ac:dyDescent="0.3">
      <c r="B31" s="348"/>
      <c r="C31" s="190" t="s">
        <v>358</v>
      </c>
      <c r="D31" s="240" t="s">
        <v>20</v>
      </c>
      <c r="E31" s="254">
        <v>0.25</v>
      </c>
      <c r="F31" s="265">
        <f>E29*E31</f>
        <v>0.05</v>
      </c>
    </row>
    <row r="32" spans="2:13" ht="31.2" x14ac:dyDescent="0.3">
      <c r="B32" s="348"/>
      <c r="C32" s="190" t="s">
        <v>439</v>
      </c>
      <c r="D32" s="240" t="s">
        <v>20</v>
      </c>
      <c r="E32" s="340">
        <v>0.17</v>
      </c>
      <c r="F32" s="351">
        <f>E29*E32</f>
        <v>3.4000000000000002E-2</v>
      </c>
    </row>
    <row r="33" spans="2:18" ht="14.4" customHeight="1" x14ac:dyDescent="0.3">
      <c r="B33" s="348"/>
      <c r="C33" s="190" t="s">
        <v>409</v>
      </c>
      <c r="D33" s="240" t="s">
        <v>20</v>
      </c>
      <c r="E33" s="349"/>
      <c r="F33" s="352"/>
    </row>
    <row r="34" spans="2:18" ht="31.2" x14ac:dyDescent="0.3">
      <c r="B34" s="348"/>
      <c r="C34" s="247" t="s">
        <v>423</v>
      </c>
      <c r="D34" s="240" t="s">
        <v>20</v>
      </c>
      <c r="E34" s="340">
        <v>0.17</v>
      </c>
      <c r="F34" s="353">
        <v>3.2000000000000001E-2</v>
      </c>
    </row>
    <row r="35" spans="2:18" ht="31.2" x14ac:dyDescent="0.3">
      <c r="B35" s="348"/>
      <c r="C35" s="190" t="s">
        <v>440</v>
      </c>
      <c r="D35" s="240" t="s">
        <v>20</v>
      </c>
      <c r="E35" s="349"/>
      <c r="F35" s="354"/>
    </row>
    <row r="36" spans="2:18" ht="46.8" x14ac:dyDescent="0.3">
      <c r="B36" s="348"/>
      <c r="C36" s="190" t="s">
        <v>407</v>
      </c>
      <c r="D36" s="240" t="s">
        <v>20</v>
      </c>
      <c r="E36" s="349"/>
      <c r="F36" s="354"/>
    </row>
    <row r="37" spans="2:18" ht="46.8" x14ac:dyDescent="0.3">
      <c r="B37" s="348"/>
      <c r="C37" s="190" t="s">
        <v>441</v>
      </c>
      <c r="D37" s="240" t="s">
        <v>20</v>
      </c>
      <c r="E37" s="349"/>
      <c r="F37" s="355"/>
    </row>
    <row r="38" spans="2:18" ht="46.8" x14ac:dyDescent="0.3">
      <c r="B38" s="348"/>
      <c r="C38" s="190" t="s">
        <v>408</v>
      </c>
      <c r="D38" s="240" t="s">
        <v>20</v>
      </c>
      <c r="E38" s="350"/>
      <c r="F38" s="356"/>
    </row>
    <row r="39" spans="2:18" ht="31.2" x14ac:dyDescent="0.3">
      <c r="B39" s="348"/>
      <c r="C39" s="190" t="s">
        <v>406</v>
      </c>
      <c r="D39" s="240" t="s">
        <v>20</v>
      </c>
      <c r="E39" s="254"/>
      <c r="F39" s="265"/>
    </row>
    <row r="40" spans="2:18" ht="15.6" x14ac:dyDescent="0.3">
      <c r="B40" s="255"/>
      <c r="C40" s="197" t="s">
        <v>410</v>
      </c>
      <c r="D40" s="240" t="s">
        <v>20</v>
      </c>
      <c r="E40" s="254">
        <v>0.16</v>
      </c>
      <c r="F40" s="265">
        <f>E29*E40</f>
        <v>3.2000000000000001E-2</v>
      </c>
    </row>
    <row r="41" spans="2:18" ht="15.6" x14ac:dyDescent="0.3">
      <c r="B41" s="285"/>
      <c r="C41" s="283"/>
      <c r="D41" s="284"/>
      <c r="E41" s="286">
        <v>0.1</v>
      </c>
      <c r="F41" s="275"/>
    </row>
    <row r="42" spans="2:18" ht="31.2" x14ac:dyDescent="0.3">
      <c r="B42" s="142" t="s">
        <v>282</v>
      </c>
      <c r="C42" s="190" t="s">
        <v>53</v>
      </c>
      <c r="D42" s="245" t="s">
        <v>20</v>
      </c>
      <c r="E42" s="257">
        <v>1</v>
      </c>
      <c r="F42" s="265">
        <v>0.1</v>
      </c>
    </row>
    <row r="43" spans="2:18" ht="15.6" x14ac:dyDescent="0.3">
      <c r="B43" s="185"/>
      <c r="C43" s="134"/>
      <c r="D43" s="258"/>
      <c r="E43" s="259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</row>
    <row r="44" spans="2:18" ht="15.6" x14ac:dyDescent="0.3">
      <c r="B44" s="185"/>
      <c r="C44" s="134"/>
      <c r="D44" s="258"/>
      <c r="E44" s="260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</row>
    <row r="45" spans="2:18" ht="33.75" customHeight="1" x14ac:dyDescent="0.3">
      <c r="C45" s="174" t="s">
        <v>58</v>
      </c>
      <c r="D45" s="174"/>
    </row>
    <row r="46" spans="2:18" ht="33.75" customHeight="1" x14ac:dyDescent="0.3">
      <c r="B46" s="262"/>
      <c r="C46" s="83" t="s">
        <v>59</v>
      </c>
      <c r="D46" s="123">
        <v>10</v>
      </c>
    </row>
    <row r="47" spans="2:18" ht="33.75" customHeight="1" x14ac:dyDescent="0.3">
      <c r="C47" s="89" t="s">
        <v>60</v>
      </c>
      <c r="D47" s="96"/>
    </row>
  </sheetData>
  <mergeCells count="12">
    <mergeCell ref="H19:J19"/>
    <mergeCell ref="B24:B28"/>
    <mergeCell ref="B30:B39"/>
    <mergeCell ref="E34:E38"/>
    <mergeCell ref="E32:E33"/>
    <mergeCell ref="F32:F33"/>
    <mergeCell ref="F34:F38"/>
    <mergeCell ref="B2:B5"/>
    <mergeCell ref="B7:B8"/>
    <mergeCell ref="B10:B11"/>
    <mergeCell ref="B12:B18"/>
    <mergeCell ref="B19:B22"/>
  </mergeCells>
  <dataValidations count="1">
    <dataValidation type="list" allowBlank="1" showInputMessage="1" showErrorMessage="1" sqref="D46" xr:uid="{90C015D3-6269-4B1C-8F1F-4A4F27B1A4E7}">
      <formula1>"0, 1, 2, 3, 4, 5, 6, 7, 8, 9, 10"</formula1>
    </dataValidation>
  </dataValidation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11927-BDE1-49E5-9279-D5AC02D344F0}">
  <dimension ref="A1:T73"/>
  <sheetViews>
    <sheetView topLeftCell="B43" zoomScale="55" zoomScaleNormal="55" workbookViewId="0">
      <selection activeCell="C50" sqref="C50:C58"/>
    </sheetView>
  </sheetViews>
  <sheetFormatPr defaultColWidth="9" defaultRowHeight="33.75" customHeight="1" x14ac:dyDescent="0.3"/>
  <cols>
    <col min="1" max="1" width="9" style="138" hidden="1" customWidth="1"/>
    <col min="2" max="2" width="31.33203125" style="68" customWidth="1"/>
    <col min="3" max="3" width="89.88671875" style="139" customWidth="1"/>
    <col min="4" max="4" width="76.109375" style="144" customWidth="1"/>
    <col min="5" max="5" width="27.5546875" style="144" customWidth="1"/>
    <col min="6" max="6" width="23.44140625" style="139" customWidth="1"/>
    <col min="7" max="7" width="9" style="139"/>
    <col min="8" max="8" width="13.44140625" style="138" customWidth="1"/>
    <col min="9" max="9" width="10.88671875" style="138" customWidth="1"/>
    <col min="10" max="10" width="12.109375" style="138" customWidth="1"/>
    <col min="11" max="16384" width="9" style="138"/>
  </cols>
  <sheetData>
    <row r="1" spans="2:20" ht="33" customHeight="1" x14ac:dyDescent="0.3">
      <c r="B1" s="357"/>
      <c r="C1" s="360" t="s">
        <v>13</v>
      </c>
      <c r="D1" s="361"/>
      <c r="E1" s="362"/>
      <c r="F1" s="365"/>
      <c r="G1" s="136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</row>
    <row r="2" spans="2:20" ht="15.6" x14ac:dyDescent="0.3">
      <c r="B2" s="358"/>
      <c r="C2" s="53" t="s">
        <v>284</v>
      </c>
      <c r="D2" s="53" t="s">
        <v>368</v>
      </c>
      <c r="E2" s="363"/>
      <c r="F2" s="366"/>
      <c r="G2" s="136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</row>
    <row r="3" spans="2:20" ht="15.6" x14ac:dyDescent="0.3">
      <c r="B3" s="358"/>
      <c r="C3" s="53" t="s">
        <v>275</v>
      </c>
      <c r="D3" s="53" t="s">
        <v>349</v>
      </c>
      <c r="E3" s="363"/>
      <c r="F3" s="366"/>
      <c r="G3" s="136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</row>
    <row r="4" spans="2:20" ht="62.4" x14ac:dyDescent="0.3">
      <c r="B4" s="358"/>
      <c r="C4" s="52" t="s">
        <v>369</v>
      </c>
      <c r="D4" s="202" t="s">
        <v>381</v>
      </c>
      <c r="E4" s="363"/>
      <c r="F4" s="366"/>
      <c r="G4" s="136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</row>
    <row r="5" spans="2:20" ht="171.6" x14ac:dyDescent="0.3">
      <c r="B5" s="358"/>
      <c r="C5" s="52" t="s">
        <v>281</v>
      </c>
      <c r="D5" s="194" t="s">
        <v>395</v>
      </c>
      <c r="E5" s="363"/>
      <c r="F5" s="366"/>
      <c r="G5" s="136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</row>
    <row r="6" spans="2:20" ht="234" x14ac:dyDescent="0.3">
      <c r="B6" s="358"/>
      <c r="C6" s="52" t="s">
        <v>300</v>
      </c>
      <c r="D6" s="186" t="s">
        <v>396</v>
      </c>
      <c r="E6" s="363"/>
      <c r="F6" s="366"/>
      <c r="G6" s="136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</row>
    <row r="7" spans="2:20" ht="15.6" x14ac:dyDescent="0.3">
      <c r="B7" s="358"/>
      <c r="C7" s="52" t="s">
        <v>277</v>
      </c>
      <c r="D7" s="52" t="s">
        <v>394</v>
      </c>
      <c r="E7" s="363"/>
      <c r="F7" s="366"/>
      <c r="G7" s="136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</row>
    <row r="8" spans="2:20" ht="15.6" x14ac:dyDescent="0.3">
      <c r="B8" s="358"/>
      <c r="C8" s="52"/>
      <c r="D8" s="52"/>
      <c r="E8" s="363"/>
      <c r="F8" s="366"/>
      <c r="G8" s="136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</row>
    <row r="9" spans="2:20" ht="15.6" x14ac:dyDescent="0.3">
      <c r="B9" s="359"/>
      <c r="C9" s="147"/>
      <c r="D9" s="147"/>
      <c r="E9" s="364"/>
      <c r="F9" s="352"/>
      <c r="G9" s="136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</row>
    <row r="10" spans="2:20" ht="15.6" x14ac:dyDescent="0.3">
      <c r="B10" s="204"/>
      <c r="C10" s="205" t="s">
        <v>17</v>
      </c>
      <c r="D10" s="205"/>
      <c r="E10" s="208">
        <v>0.1</v>
      </c>
      <c r="F10" s="367"/>
    </row>
    <row r="11" spans="2:20" ht="15.6" customHeight="1" x14ac:dyDescent="0.3">
      <c r="B11" s="346" t="s">
        <v>18</v>
      </c>
      <c r="C11" s="189" t="s">
        <v>21</v>
      </c>
      <c r="D11" s="196" t="s">
        <v>20</v>
      </c>
      <c r="E11" s="169">
        <v>0.4</v>
      </c>
      <c r="F11" s="366"/>
    </row>
    <row r="12" spans="2:20" ht="15.6" customHeight="1" x14ac:dyDescent="0.3">
      <c r="B12" s="346"/>
      <c r="C12" s="189" t="s">
        <v>22</v>
      </c>
      <c r="D12" s="196" t="s">
        <v>20</v>
      </c>
      <c r="E12" s="169">
        <v>0.2</v>
      </c>
      <c r="F12" s="366"/>
    </row>
    <row r="13" spans="2:20" ht="15.6" customHeight="1" x14ac:dyDescent="0.3">
      <c r="B13" s="346"/>
      <c r="C13" s="189" t="s">
        <v>272</v>
      </c>
      <c r="D13" s="196" t="s">
        <v>20</v>
      </c>
      <c r="E13" s="169">
        <v>0.2</v>
      </c>
      <c r="F13" s="366"/>
    </row>
    <row r="14" spans="2:20" ht="15.6" customHeight="1" x14ac:dyDescent="0.3">
      <c r="B14" s="346"/>
      <c r="C14" s="189" t="s">
        <v>23</v>
      </c>
      <c r="D14" s="196" t="s">
        <v>20</v>
      </c>
      <c r="E14" s="169">
        <v>0.2</v>
      </c>
      <c r="F14" s="366"/>
    </row>
    <row r="15" spans="2:20" ht="15.6" x14ac:dyDescent="0.3">
      <c r="B15" s="206"/>
      <c r="C15" s="207" t="s">
        <v>350</v>
      </c>
      <c r="D15" s="207"/>
      <c r="E15" s="209">
        <v>0.25</v>
      </c>
      <c r="F15" s="366"/>
    </row>
    <row r="16" spans="2:20" ht="15.6" x14ac:dyDescent="0.3">
      <c r="B16" s="343" t="s">
        <v>61</v>
      </c>
      <c r="C16" s="197" t="s">
        <v>393</v>
      </c>
      <c r="D16" s="196" t="s">
        <v>20</v>
      </c>
      <c r="E16" s="169">
        <v>0.3</v>
      </c>
      <c r="F16" s="366"/>
    </row>
    <row r="17" spans="1:9" ht="15.6" x14ac:dyDescent="0.3">
      <c r="B17" s="345"/>
      <c r="C17" s="197" t="s">
        <v>380</v>
      </c>
      <c r="D17" s="196" t="s">
        <v>20</v>
      </c>
      <c r="E17" s="169">
        <v>0.4</v>
      </c>
      <c r="F17" s="366"/>
    </row>
    <row r="18" spans="1:9" ht="31.2" x14ac:dyDescent="0.3">
      <c r="B18" s="210"/>
      <c r="C18" s="207" t="s">
        <v>351</v>
      </c>
      <c r="D18" s="207"/>
      <c r="E18" s="208">
        <v>0.35</v>
      </c>
      <c r="F18" s="366"/>
    </row>
    <row r="19" spans="1:9" ht="31.2" x14ac:dyDescent="0.3">
      <c r="A19" s="138" t="s">
        <v>352</v>
      </c>
      <c r="B19" s="343" t="s">
        <v>280</v>
      </c>
      <c r="C19" s="190" t="s">
        <v>366</v>
      </c>
      <c r="D19" s="196" t="s">
        <v>20</v>
      </c>
      <c r="E19" s="169">
        <v>0.1</v>
      </c>
      <c r="F19" s="366"/>
    </row>
    <row r="20" spans="1:9" ht="31.2" x14ac:dyDescent="0.3">
      <c r="B20" s="344"/>
      <c r="C20" s="190" t="s">
        <v>367</v>
      </c>
      <c r="D20" s="196" t="s">
        <v>20</v>
      </c>
      <c r="E20" s="169">
        <v>0.08</v>
      </c>
      <c r="F20" s="352"/>
    </row>
    <row r="21" spans="1:9" ht="15.6" customHeight="1" x14ac:dyDescent="0.3">
      <c r="B21" s="343" t="s">
        <v>370</v>
      </c>
      <c r="C21" s="190" t="s">
        <v>344</v>
      </c>
      <c r="D21" s="370" t="s">
        <v>29</v>
      </c>
      <c r="E21" s="372">
        <v>7.0000000000000007E-2</v>
      </c>
      <c r="F21" s="346" t="s">
        <v>348</v>
      </c>
    </row>
    <row r="22" spans="1:9" ht="15.6" customHeight="1" x14ac:dyDescent="0.3">
      <c r="B22" s="345"/>
      <c r="C22" s="190" t="s">
        <v>345</v>
      </c>
      <c r="D22" s="371"/>
      <c r="E22" s="363"/>
      <c r="F22" s="346"/>
    </row>
    <row r="23" spans="1:9" ht="15.6" customHeight="1" x14ac:dyDescent="0.3">
      <c r="B23" s="345"/>
      <c r="C23" s="190" t="s">
        <v>346</v>
      </c>
      <c r="D23" s="371"/>
      <c r="E23" s="363"/>
      <c r="F23" s="346"/>
    </row>
    <row r="24" spans="1:9" ht="15.6" customHeight="1" x14ac:dyDescent="0.3">
      <c r="B24" s="345"/>
      <c r="C24" s="190" t="s">
        <v>347</v>
      </c>
      <c r="D24" s="371"/>
      <c r="E24" s="363"/>
      <c r="F24" s="346"/>
    </row>
    <row r="25" spans="1:9" ht="31.2" x14ac:dyDescent="0.3">
      <c r="B25" s="368"/>
      <c r="C25" s="161" t="s">
        <v>312</v>
      </c>
      <c r="D25" s="371"/>
      <c r="E25" s="363"/>
      <c r="F25" s="142" t="s">
        <v>32</v>
      </c>
      <c r="H25" s="373"/>
      <c r="I25" s="373"/>
    </row>
    <row r="26" spans="1:9" ht="31.2" x14ac:dyDescent="0.3">
      <c r="B26" s="368"/>
      <c r="C26" s="161" t="s">
        <v>36</v>
      </c>
      <c r="D26" s="371"/>
      <c r="E26" s="363"/>
      <c r="F26" s="346" t="s">
        <v>35</v>
      </c>
    </row>
    <row r="27" spans="1:9" ht="31.2" x14ac:dyDescent="0.3">
      <c r="B27" s="368"/>
      <c r="C27" s="161" t="s">
        <v>37</v>
      </c>
      <c r="D27" s="371"/>
      <c r="E27" s="363"/>
      <c r="F27" s="346"/>
    </row>
    <row r="28" spans="1:9" ht="31.2" x14ac:dyDescent="0.3">
      <c r="B28" s="368"/>
      <c r="C28" s="190" t="s">
        <v>38</v>
      </c>
      <c r="D28" s="371"/>
      <c r="E28" s="363"/>
      <c r="F28" s="346"/>
    </row>
    <row r="29" spans="1:9" ht="31.2" x14ac:dyDescent="0.3">
      <c r="B29" s="368"/>
      <c r="C29" s="190" t="s">
        <v>40</v>
      </c>
      <c r="D29" s="371"/>
      <c r="E29" s="363"/>
      <c r="F29" s="346" t="s">
        <v>39</v>
      </c>
    </row>
    <row r="30" spans="1:9" ht="15.6" x14ac:dyDescent="0.3">
      <c r="B30" s="368"/>
      <c r="C30" s="191" t="s">
        <v>41</v>
      </c>
      <c r="D30" s="371"/>
      <c r="E30" s="363"/>
      <c r="F30" s="346"/>
    </row>
    <row r="31" spans="1:9" ht="46.8" x14ac:dyDescent="0.3">
      <c r="B31" s="369"/>
      <c r="C31" s="161" t="s">
        <v>278</v>
      </c>
      <c r="D31" s="369"/>
      <c r="E31" s="364"/>
      <c r="F31" s="142" t="s">
        <v>42</v>
      </c>
    </row>
    <row r="32" spans="1:9" ht="15.6" customHeight="1" x14ac:dyDescent="0.3">
      <c r="B32" s="343" t="s">
        <v>377</v>
      </c>
      <c r="C32" s="161" t="s">
        <v>44</v>
      </c>
      <c r="D32" s="217" t="s">
        <v>20</v>
      </c>
      <c r="E32" s="169">
        <v>7.0000000000000007E-2</v>
      </c>
      <c r="F32" s="374"/>
    </row>
    <row r="33" spans="2:15" ht="15.6" x14ac:dyDescent="0.3">
      <c r="B33" s="345"/>
      <c r="C33" s="161" t="s">
        <v>321</v>
      </c>
      <c r="D33" s="217" t="s">
        <v>20</v>
      </c>
      <c r="E33" s="169">
        <v>0.1</v>
      </c>
      <c r="F33" s="375"/>
    </row>
    <row r="34" spans="2:15" ht="15.6" x14ac:dyDescent="0.3">
      <c r="B34" s="345"/>
      <c r="C34" s="213" t="s">
        <v>45</v>
      </c>
      <c r="D34" s="217" t="s">
        <v>20</v>
      </c>
      <c r="E34" s="169">
        <v>0.05</v>
      </c>
      <c r="F34" s="375"/>
    </row>
    <row r="35" spans="2:15" ht="31.2" x14ac:dyDescent="0.3">
      <c r="B35" s="345"/>
      <c r="C35" s="161" t="s">
        <v>311</v>
      </c>
      <c r="D35" s="217" t="s">
        <v>20</v>
      </c>
      <c r="E35" s="169">
        <v>0.06</v>
      </c>
      <c r="F35" s="375"/>
    </row>
    <row r="36" spans="2:15" ht="15.6" x14ac:dyDescent="0.3">
      <c r="B36" s="344"/>
      <c r="C36" s="161" t="s">
        <v>47</v>
      </c>
      <c r="D36" s="217" t="s">
        <v>20</v>
      </c>
      <c r="E36" s="169">
        <v>7.0000000000000007E-2</v>
      </c>
      <c r="F36" s="375"/>
    </row>
    <row r="37" spans="2:15" ht="31.2" x14ac:dyDescent="0.3">
      <c r="B37" s="343" t="s">
        <v>371</v>
      </c>
      <c r="C37" s="190" t="s">
        <v>273</v>
      </c>
      <c r="D37" s="217" t="s">
        <v>20</v>
      </c>
      <c r="E37" s="169">
        <v>7.0000000000000007E-2</v>
      </c>
      <c r="F37" s="375"/>
      <c r="G37" s="373"/>
      <c r="H37" s="373"/>
      <c r="J37" s="373"/>
      <c r="K37" s="373"/>
      <c r="L37" s="373"/>
      <c r="O37" s="188"/>
    </row>
    <row r="38" spans="2:15" ht="15.6" x14ac:dyDescent="0.3">
      <c r="B38" s="345"/>
      <c r="C38" s="190" t="s">
        <v>328</v>
      </c>
      <c r="D38" s="217" t="s">
        <v>20</v>
      </c>
      <c r="E38" s="169">
        <v>7.0000000000000007E-2</v>
      </c>
      <c r="F38" s="375"/>
      <c r="G38" s="199"/>
      <c r="H38" s="199"/>
      <c r="J38" s="199"/>
      <c r="K38" s="199"/>
      <c r="L38" s="199"/>
      <c r="O38" s="188"/>
    </row>
    <row r="39" spans="2:15" ht="15.6" x14ac:dyDescent="0.3">
      <c r="B39" s="345"/>
      <c r="C39" s="190" t="s">
        <v>356</v>
      </c>
      <c r="D39" s="196" t="s">
        <v>20</v>
      </c>
      <c r="E39" s="169">
        <v>0.06</v>
      </c>
      <c r="F39" s="375"/>
      <c r="G39" s="199"/>
      <c r="H39" s="199"/>
      <c r="J39" s="199"/>
      <c r="K39" s="199"/>
      <c r="L39" s="199"/>
      <c r="O39" s="188"/>
    </row>
    <row r="40" spans="2:15" ht="15.6" x14ac:dyDescent="0.3">
      <c r="B40" s="345"/>
      <c r="C40" s="190" t="s">
        <v>359</v>
      </c>
      <c r="D40" s="196" t="s">
        <v>20</v>
      </c>
      <c r="E40" s="169">
        <v>7.0000000000000007E-2</v>
      </c>
      <c r="F40" s="375"/>
      <c r="G40" s="199"/>
      <c r="H40" s="199"/>
      <c r="J40" s="199"/>
      <c r="K40" s="199"/>
      <c r="L40" s="199"/>
      <c r="O40" s="188"/>
    </row>
    <row r="41" spans="2:15" ht="46.8" x14ac:dyDescent="0.3">
      <c r="B41" s="345"/>
      <c r="C41" s="190" t="s">
        <v>357</v>
      </c>
      <c r="D41" s="196" t="s">
        <v>20</v>
      </c>
      <c r="E41" s="211">
        <v>0.06</v>
      </c>
      <c r="F41" s="375"/>
      <c r="G41" s="199"/>
      <c r="H41" s="199"/>
      <c r="J41" s="199"/>
      <c r="K41" s="199"/>
      <c r="L41" s="199"/>
      <c r="O41" s="188"/>
    </row>
    <row r="42" spans="2:15" ht="15.6" x14ac:dyDescent="0.3">
      <c r="B42" s="212"/>
      <c r="C42" s="212"/>
      <c r="D42" s="218">
        <v>0.06</v>
      </c>
      <c r="E42" s="208">
        <v>0.05</v>
      </c>
      <c r="F42" s="375"/>
    </row>
    <row r="43" spans="2:15" ht="15.6" x14ac:dyDescent="0.3">
      <c r="B43" s="338" t="s">
        <v>288</v>
      </c>
      <c r="C43" s="161" t="s">
        <v>372</v>
      </c>
      <c r="D43" s="196" t="s">
        <v>20</v>
      </c>
      <c r="E43" s="169">
        <v>0.35</v>
      </c>
      <c r="F43" s="375"/>
    </row>
    <row r="44" spans="2:15" ht="15.6" x14ac:dyDescent="0.3">
      <c r="B44" s="347"/>
      <c r="C44" s="161" t="s">
        <v>353</v>
      </c>
      <c r="D44" s="196" t="s">
        <v>20</v>
      </c>
      <c r="E44" s="169">
        <v>0.25</v>
      </c>
      <c r="F44" s="375"/>
    </row>
    <row r="45" spans="2:15" ht="15.6" x14ac:dyDescent="0.3">
      <c r="B45" s="347"/>
      <c r="C45" s="190" t="s">
        <v>360</v>
      </c>
      <c r="D45" s="196" t="s">
        <v>20</v>
      </c>
      <c r="E45" s="169">
        <v>0.25</v>
      </c>
      <c r="F45" s="375"/>
    </row>
    <row r="46" spans="2:15" ht="31.2" x14ac:dyDescent="0.3">
      <c r="B46" s="347"/>
      <c r="C46" s="190" t="s">
        <v>361</v>
      </c>
      <c r="D46" s="196" t="s">
        <v>20</v>
      </c>
      <c r="E46" s="169"/>
      <c r="F46" s="375"/>
    </row>
    <row r="47" spans="2:15" ht="15.6" x14ac:dyDescent="0.3">
      <c r="B47" s="347"/>
      <c r="C47" s="190" t="s">
        <v>362</v>
      </c>
      <c r="D47" s="196"/>
      <c r="E47" s="169"/>
      <c r="F47" s="375"/>
    </row>
    <row r="48" spans="2:15" ht="15.6" x14ac:dyDescent="0.3">
      <c r="B48" s="348"/>
      <c r="C48" s="186" t="s">
        <v>392</v>
      </c>
      <c r="D48" s="196" t="s">
        <v>20</v>
      </c>
      <c r="E48" s="169"/>
      <c r="F48" s="375"/>
    </row>
    <row r="49" spans="2:7" ht="15.6" x14ac:dyDescent="0.3">
      <c r="B49" s="215"/>
      <c r="C49" s="214"/>
      <c r="D49" s="216"/>
      <c r="E49" s="209">
        <v>0.15</v>
      </c>
      <c r="F49" s="375"/>
    </row>
    <row r="50" spans="2:7" ht="15.6" x14ac:dyDescent="0.3">
      <c r="B50" s="339" t="s">
        <v>373</v>
      </c>
      <c r="C50" s="192" t="s">
        <v>382</v>
      </c>
      <c r="D50" s="217"/>
      <c r="E50" s="169"/>
      <c r="F50" s="375"/>
    </row>
    <row r="51" spans="2:7" ht="15.6" x14ac:dyDescent="0.3">
      <c r="B51" s="348"/>
      <c r="C51" s="192" t="s">
        <v>383</v>
      </c>
      <c r="D51" s="217"/>
      <c r="E51" s="124"/>
      <c r="F51" s="375"/>
    </row>
    <row r="52" spans="2:7" ht="31.2" x14ac:dyDescent="0.3">
      <c r="B52" s="348"/>
      <c r="C52" s="192" t="s">
        <v>374</v>
      </c>
      <c r="D52" s="217"/>
      <c r="E52" s="124"/>
      <c r="F52" s="375"/>
    </row>
    <row r="53" spans="2:7" ht="31.2" x14ac:dyDescent="0.3">
      <c r="B53" s="348"/>
      <c r="C53" s="192" t="s">
        <v>378</v>
      </c>
      <c r="D53" s="217"/>
      <c r="E53" s="124"/>
      <c r="F53" s="375"/>
    </row>
    <row r="54" spans="2:7" ht="31.2" x14ac:dyDescent="0.3">
      <c r="B54" s="348"/>
      <c r="C54" s="192" t="s">
        <v>376</v>
      </c>
      <c r="D54" s="217"/>
      <c r="E54" s="124"/>
      <c r="F54" s="375"/>
    </row>
    <row r="55" spans="2:7" ht="15.6" x14ac:dyDescent="0.3">
      <c r="B55" s="348"/>
      <c r="C55" s="192" t="s">
        <v>375</v>
      </c>
      <c r="D55" s="217"/>
      <c r="E55" s="124"/>
      <c r="F55" s="375"/>
    </row>
    <row r="56" spans="2:7" ht="31.2" x14ac:dyDescent="0.3">
      <c r="B56" s="348"/>
      <c r="C56" s="192" t="s">
        <v>379</v>
      </c>
      <c r="D56" s="217"/>
      <c r="E56" s="124"/>
      <c r="F56" s="375"/>
    </row>
    <row r="57" spans="2:7" ht="15.6" x14ac:dyDescent="0.3">
      <c r="B57" s="348"/>
      <c r="C57" s="192"/>
      <c r="D57" s="217"/>
      <c r="E57" s="124"/>
      <c r="F57" s="375"/>
    </row>
    <row r="58" spans="2:7" ht="15.6" x14ac:dyDescent="0.3">
      <c r="B58" s="348"/>
      <c r="C58" s="192"/>
      <c r="D58" s="217"/>
      <c r="E58" s="124"/>
      <c r="F58" s="375"/>
    </row>
    <row r="59" spans="2:7" ht="15.6" x14ac:dyDescent="0.3">
      <c r="B59" s="348"/>
      <c r="C59" s="197"/>
      <c r="D59" s="217"/>
      <c r="E59" s="124"/>
      <c r="F59" s="375"/>
    </row>
    <row r="60" spans="2:7" s="234" customFormat="1" ht="30" customHeight="1" x14ac:dyDescent="0.3">
      <c r="B60" s="235" t="s">
        <v>399</v>
      </c>
      <c r="C60" s="236"/>
      <c r="D60" s="237"/>
      <c r="E60" s="232">
        <v>0.1</v>
      </c>
      <c r="F60" s="375"/>
      <c r="G60" s="238"/>
    </row>
    <row r="61" spans="2:7" ht="41.1" customHeight="1" x14ac:dyDescent="0.3">
      <c r="B61" s="142"/>
      <c r="C61" s="197" t="s">
        <v>291</v>
      </c>
      <c r="D61" s="217" t="s">
        <v>20</v>
      </c>
      <c r="E61" s="203"/>
      <c r="F61" s="375"/>
    </row>
    <row r="62" spans="2:7" ht="14.1" customHeight="1" x14ac:dyDescent="0.3">
      <c r="B62" s="142"/>
      <c r="C62" s="197" t="s">
        <v>293</v>
      </c>
      <c r="D62" s="217" t="s">
        <v>20</v>
      </c>
      <c r="E62" s="203"/>
      <c r="F62" s="375"/>
    </row>
    <row r="63" spans="2:7" ht="56.4" customHeight="1" x14ac:dyDescent="0.3">
      <c r="B63" s="155"/>
      <c r="C63" s="197" t="s">
        <v>384</v>
      </c>
      <c r="D63" s="217" t="s">
        <v>20</v>
      </c>
      <c r="E63" s="203"/>
      <c r="F63" s="375"/>
    </row>
    <row r="64" spans="2:7" ht="33.9" customHeight="1" x14ac:dyDescent="0.3">
      <c r="B64" s="155"/>
      <c r="C64" s="197" t="s">
        <v>385</v>
      </c>
      <c r="D64" s="217" t="s">
        <v>20</v>
      </c>
      <c r="E64" s="203"/>
      <c r="F64" s="375"/>
    </row>
    <row r="65" spans="2:20" ht="14.1" customHeight="1" x14ac:dyDescent="0.3">
      <c r="B65" s="155"/>
      <c r="C65" s="197" t="s">
        <v>57</v>
      </c>
      <c r="D65" s="217" t="s">
        <v>20</v>
      </c>
      <c r="E65" s="203"/>
      <c r="F65" s="375"/>
    </row>
    <row r="66" spans="2:20" ht="14.1" customHeight="1" x14ac:dyDescent="0.3">
      <c r="B66" s="155"/>
      <c r="C66" s="197" t="s">
        <v>386</v>
      </c>
      <c r="D66" s="217" t="s">
        <v>20</v>
      </c>
      <c r="E66" s="203"/>
      <c r="F66" s="375"/>
    </row>
    <row r="67" spans="2:20" ht="14.1" customHeight="1" x14ac:dyDescent="0.3">
      <c r="B67" s="239"/>
      <c r="C67" s="214"/>
      <c r="D67" s="216"/>
      <c r="E67" s="208">
        <v>0.1</v>
      </c>
      <c r="F67" s="375"/>
    </row>
    <row r="68" spans="2:20" ht="31.2" x14ac:dyDescent="0.3">
      <c r="B68" s="142" t="s">
        <v>282</v>
      </c>
      <c r="C68" s="197" t="s">
        <v>53</v>
      </c>
      <c r="D68" s="217" t="s">
        <v>20</v>
      </c>
      <c r="E68" s="187"/>
      <c r="F68" s="376"/>
    </row>
    <row r="69" spans="2:20" ht="15.6" x14ac:dyDescent="0.3">
      <c r="B69" s="185"/>
      <c r="C69" s="75"/>
      <c r="D69" s="201"/>
      <c r="E69" s="184"/>
      <c r="F69" s="136"/>
      <c r="G69" s="136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</row>
    <row r="70" spans="2:20" ht="15.6" x14ac:dyDescent="0.3">
      <c r="B70" s="185"/>
      <c r="C70" s="75"/>
      <c r="D70" s="201"/>
      <c r="E70" s="184"/>
      <c r="F70" s="136"/>
      <c r="G70" s="136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37"/>
      <c r="T70" s="137"/>
    </row>
    <row r="71" spans="2:20" ht="33.75" customHeight="1" x14ac:dyDescent="0.3">
      <c r="C71" s="140" t="s">
        <v>58</v>
      </c>
      <c r="D71" s="140"/>
    </row>
    <row r="72" spans="2:20" ht="33.75" customHeight="1" x14ac:dyDescent="0.3">
      <c r="B72" s="146"/>
      <c r="C72" s="53" t="s">
        <v>59</v>
      </c>
      <c r="D72" s="122">
        <v>10</v>
      </c>
    </row>
    <row r="73" spans="2:20" ht="33.75" customHeight="1" x14ac:dyDescent="0.3">
      <c r="C73" s="52" t="s">
        <v>60</v>
      </c>
      <c r="D73" s="55"/>
    </row>
  </sheetData>
  <mergeCells count="22">
    <mergeCell ref="B32:B36"/>
    <mergeCell ref="F32:F68"/>
    <mergeCell ref="B37:B41"/>
    <mergeCell ref="G37:H37"/>
    <mergeCell ref="J37:L37"/>
    <mergeCell ref="B43:B48"/>
    <mergeCell ref="B50:B59"/>
    <mergeCell ref="B21:B31"/>
    <mergeCell ref="D21:D31"/>
    <mergeCell ref="E21:E31"/>
    <mergeCell ref="F21:F24"/>
    <mergeCell ref="H25:I25"/>
    <mergeCell ref="F26:F28"/>
    <mergeCell ref="F29:F30"/>
    <mergeCell ref="B1:B9"/>
    <mergeCell ref="C1:D1"/>
    <mergeCell ref="E1:E9"/>
    <mergeCell ref="F1:F9"/>
    <mergeCell ref="F10:F20"/>
    <mergeCell ref="B11:B14"/>
    <mergeCell ref="B16:B17"/>
    <mergeCell ref="B19:B20"/>
  </mergeCells>
  <dataValidations count="1">
    <dataValidation type="list" allowBlank="1" showInputMessage="1" showErrorMessage="1" sqref="D72" xr:uid="{56082969-8BDA-4E9F-94F2-0A24727BA56A}">
      <formula1>"0, 1, 2, 3, 4, 5, 6, 7, 8, 9, 10"</formula1>
    </dataValidation>
  </dataValidation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A9A7C-38A2-49E4-86EA-07CD51C2C4E1}">
  <dimension ref="A1:T63"/>
  <sheetViews>
    <sheetView topLeftCell="B8" zoomScale="55" zoomScaleNormal="55" workbookViewId="0">
      <selection activeCell="D6" sqref="D6"/>
    </sheetView>
  </sheetViews>
  <sheetFormatPr defaultColWidth="9" defaultRowHeight="33.75" customHeight="1" x14ac:dyDescent="0.3"/>
  <cols>
    <col min="1" max="1" width="9" style="138" hidden="1" customWidth="1"/>
    <col min="2" max="2" width="31.33203125" style="68" customWidth="1"/>
    <col min="3" max="3" width="89.88671875" style="139" customWidth="1"/>
    <col min="4" max="4" width="79.44140625" style="144" customWidth="1"/>
    <col min="5" max="5" width="27.5546875" style="144" customWidth="1"/>
    <col min="6" max="6" width="23.44140625" style="139" customWidth="1"/>
    <col min="7" max="7" width="9" style="139"/>
    <col min="8" max="8" width="13.44140625" style="138" customWidth="1"/>
    <col min="9" max="9" width="10.88671875" style="138" customWidth="1"/>
    <col min="10" max="10" width="12.109375" style="138" customWidth="1"/>
    <col min="11" max="16384" width="9" style="138"/>
  </cols>
  <sheetData>
    <row r="1" spans="2:20" ht="33" customHeight="1" x14ac:dyDescent="0.3">
      <c r="B1" s="200"/>
      <c r="C1" s="392" t="s">
        <v>363</v>
      </c>
      <c r="D1" s="393"/>
      <c r="E1" s="382"/>
      <c r="F1" s="365"/>
      <c r="G1" s="136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</row>
    <row r="2" spans="2:20" ht="15.6" x14ac:dyDescent="0.3">
      <c r="B2" s="200"/>
      <c r="C2" s="53" t="s">
        <v>284</v>
      </c>
      <c r="D2" s="75" t="s">
        <v>387</v>
      </c>
      <c r="E2" s="383"/>
      <c r="F2" s="366"/>
      <c r="G2" s="136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</row>
    <row r="3" spans="2:20" ht="15.6" x14ac:dyDescent="0.3">
      <c r="B3" s="200"/>
      <c r="C3" s="53" t="s">
        <v>275</v>
      </c>
      <c r="D3" s="75" t="s">
        <v>389</v>
      </c>
      <c r="E3" s="383"/>
      <c r="F3" s="366"/>
      <c r="G3" s="136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</row>
    <row r="4" spans="2:20" ht="62.4" x14ac:dyDescent="0.3">
      <c r="B4" s="200"/>
      <c r="C4" s="52" t="s">
        <v>365</v>
      </c>
      <c r="D4" s="226" t="s">
        <v>388</v>
      </c>
      <c r="E4" s="383"/>
      <c r="F4" s="366"/>
      <c r="G4" s="136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</row>
    <row r="5" spans="2:20" ht="15.6" x14ac:dyDescent="0.3">
      <c r="B5" s="200"/>
      <c r="C5" s="52" t="s">
        <v>274</v>
      </c>
      <c r="D5" s="197" t="s">
        <v>349</v>
      </c>
      <c r="E5" s="383"/>
      <c r="F5" s="366"/>
      <c r="G5" s="136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</row>
    <row r="6" spans="2:20" ht="171.6" x14ac:dyDescent="0.3">
      <c r="B6" s="200"/>
      <c r="C6" s="52" t="s">
        <v>281</v>
      </c>
      <c r="D6" s="198" t="s">
        <v>401</v>
      </c>
      <c r="E6" s="383"/>
      <c r="F6" s="366"/>
      <c r="G6" s="136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</row>
    <row r="7" spans="2:20" ht="292.5" customHeight="1" x14ac:dyDescent="0.3">
      <c r="B7" s="200"/>
      <c r="C7" s="52" t="s">
        <v>300</v>
      </c>
      <c r="D7" s="134" t="s">
        <v>397</v>
      </c>
      <c r="E7" s="383"/>
      <c r="F7" s="366"/>
      <c r="G7" s="136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</row>
    <row r="8" spans="2:20" ht="15.6" x14ac:dyDescent="0.3">
      <c r="B8" s="200"/>
      <c r="C8" s="52" t="s">
        <v>277</v>
      </c>
      <c r="D8" s="73" t="s">
        <v>394</v>
      </c>
      <c r="E8" s="383"/>
      <c r="F8" s="366"/>
      <c r="G8" s="136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</row>
    <row r="9" spans="2:20" ht="15.6" x14ac:dyDescent="0.3">
      <c r="B9" s="200"/>
      <c r="C9" s="52"/>
      <c r="D9" s="73"/>
      <c r="E9" s="383"/>
      <c r="F9" s="366"/>
      <c r="G9" s="136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</row>
    <row r="10" spans="2:20" ht="15.6" x14ac:dyDescent="0.3">
      <c r="B10" s="200"/>
      <c r="C10" s="136"/>
      <c r="D10" s="136"/>
      <c r="E10" s="227"/>
      <c r="F10" s="366"/>
      <c r="G10" s="136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</row>
    <row r="11" spans="2:20" ht="15.6" x14ac:dyDescent="0.3">
      <c r="B11" s="200"/>
      <c r="D11" s="139"/>
      <c r="E11" s="219"/>
      <c r="F11" s="352"/>
    </row>
    <row r="12" spans="2:20" ht="15.6" x14ac:dyDescent="0.3">
      <c r="B12" s="220"/>
      <c r="C12" s="221" t="s">
        <v>17</v>
      </c>
      <c r="D12" s="221"/>
      <c r="E12" s="228">
        <v>0.1</v>
      </c>
      <c r="F12" s="386"/>
      <c r="G12" s="136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</row>
    <row r="13" spans="2:20" ht="15.6" customHeight="1" x14ac:dyDescent="0.3">
      <c r="B13" s="346" t="s">
        <v>18</v>
      </c>
      <c r="C13" s="189" t="s">
        <v>21</v>
      </c>
      <c r="D13" s="196" t="s">
        <v>20</v>
      </c>
      <c r="E13" s="229">
        <v>0.4</v>
      </c>
      <c r="F13" s="387"/>
      <c r="G13" s="136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</row>
    <row r="14" spans="2:20" ht="15.6" customHeight="1" x14ac:dyDescent="0.3">
      <c r="B14" s="346"/>
      <c r="C14" s="189" t="s">
        <v>22</v>
      </c>
      <c r="D14" s="196" t="s">
        <v>20</v>
      </c>
      <c r="E14" s="229">
        <v>0.2</v>
      </c>
      <c r="F14" s="387"/>
      <c r="G14" s="136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</row>
    <row r="15" spans="2:20" ht="15.6" customHeight="1" x14ac:dyDescent="0.3">
      <c r="B15" s="346"/>
      <c r="C15" s="189" t="s">
        <v>272</v>
      </c>
      <c r="D15" s="196" t="s">
        <v>20</v>
      </c>
      <c r="E15" s="229">
        <v>0.2</v>
      </c>
      <c r="F15" s="387"/>
      <c r="G15" s="136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</row>
    <row r="16" spans="2:20" ht="15.6" customHeight="1" x14ac:dyDescent="0.3">
      <c r="B16" s="346"/>
      <c r="C16" s="189" t="s">
        <v>23</v>
      </c>
      <c r="D16" s="196" t="s">
        <v>20</v>
      </c>
      <c r="E16" s="229">
        <v>0.2</v>
      </c>
      <c r="F16" s="387"/>
      <c r="G16" s="136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</row>
    <row r="17" spans="1:20" ht="15.6" x14ac:dyDescent="0.3">
      <c r="B17" s="206"/>
      <c r="C17" s="207" t="s">
        <v>350</v>
      </c>
      <c r="D17" s="207"/>
      <c r="E17" s="230">
        <v>0.25</v>
      </c>
      <c r="F17" s="387"/>
      <c r="G17" s="136"/>
      <c r="H17" s="137"/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</row>
    <row r="18" spans="1:20" ht="15.6" x14ac:dyDescent="0.3">
      <c r="B18" s="343" t="s">
        <v>61</v>
      </c>
      <c r="C18" s="197" t="s">
        <v>393</v>
      </c>
      <c r="D18" s="196" t="s">
        <v>20</v>
      </c>
      <c r="E18" s="169">
        <v>0.5</v>
      </c>
      <c r="F18" s="387"/>
    </row>
    <row r="19" spans="1:20" ht="15.6" x14ac:dyDescent="0.3">
      <c r="B19" s="345"/>
      <c r="C19" s="190" t="s">
        <v>62</v>
      </c>
      <c r="D19" s="195"/>
      <c r="E19" s="227">
        <v>0.25</v>
      </c>
      <c r="F19" s="387"/>
      <c r="G19" s="136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</row>
    <row r="20" spans="1:20" ht="15.6" x14ac:dyDescent="0.3">
      <c r="B20" s="345"/>
      <c r="C20" s="190" t="s">
        <v>400</v>
      </c>
      <c r="D20" s="195" t="s">
        <v>20</v>
      </c>
      <c r="E20" s="227">
        <v>0.25</v>
      </c>
      <c r="F20" s="387"/>
      <c r="G20" s="136"/>
      <c r="H20" s="137"/>
      <c r="I20" s="137"/>
      <c r="J20" s="137"/>
      <c r="K20" s="137"/>
      <c r="L20" s="137"/>
      <c r="M20" s="137"/>
      <c r="N20" s="137"/>
      <c r="O20" s="137"/>
      <c r="P20" s="137"/>
      <c r="Q20" s="137"/>
      <c r="R20" s="137"/>
      <c r="S20" s="137"/>
      <c r="T20" s="137"/>
    </row>
    <row r="21" spans="1:20" ht="15.6" x14ac:dyDescent="0.3">
      <c r="B21" s="210"/>
      <c r="C21" s="222" t="s">
        <v>354</v>
      </c>
      <c r="D21" s="222"/>
      <c r="E21" s="230">
        <v>0.3</v>
      </c>
      <c r="F21" s="387"/>
      <c r="G21" s="136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7"/>
      <c r="S21" s="137"/>
      <c r="T21" s="137"/>
    </row>
    <row r="22" spans="1:20" ht="46.8" x14ac:dyDescent="0.3">
      <c r="A22" s="138" t="s">
        <v>352</v>
      </c>
      <c r="B22" s="346" t="s">
        <v>280</v>
      </c>
      <c r="C22" s="186" t="s">
        <v>364</v>
      </c>
      <c r="D22" s="196" t="s">
        <v>20</v>
      </c>
      <c r="E22" s="227">
        <v>0.1</v>
      </c>
      <c r="F22" s="387"/>
      <c r="G22" s="136"/>
      <c r="H22" s="137"/>
      <c r="I22" s="137"/>
      <c r="J22" s="137"/>
      <c r="K22" s="137"/>
      <c r="L22" s="137"/>
      <c r="M22" s="137"/>
      <c r="N22" s="137"/>
      <c r="O22" s="137"/>
      <c r="P22" s="137"/>
      <c r="Q22" s="137"/>
      <c r="R22" s="137"/>
      <c r="S22" s="137"/>
      <c r="T22" s="137"/>
    </row>
    <row r="23" spans="1:20" ht="31.2" x14ac:dyDescent="0.3">
      <c r="B23" s="343"/>
      <c r="C23" s="224" t="s">
        <v>355</v>
      </c>
      <c r="D23" s="225" t="s">
        <v>20</v>
      </c>
      <c r="E23" s="231">
        <v>0.06</v>
      </c>
      <c r="F23" s="388"/>
      <c r="G23" s="136"/>
      <c r="H23" s="137"/>
      <c r="I23" s="137"/>
      <c r="J23" s="137"/>
      <c r="K23" s="137"/>
      <c r="L23" s="137"/>
      <c r="M23" s="137"/>
      <c r="N23" s="137"/>
      <c r="O23" s="137"/>
      <c r="P23" s="137"/>
      <c r="Q23" s="137"/>
      <c r="R23" s="137"/>
      <c r="S23" s="137"/>
      <c r="T23" s="137"/>
    </row>
    <row r="24" spans="1:20" ht="15.6" customHeight="1" x14ac:dyDescent="0.3">
      <c r="B24" s="346" t="s">
        <v>390</v>
      </c>
      <c r="C24" s="190" t="s">
        <v>344</v>
      </c>
      <c r="D24" s="384" t="s">
        <v>29</v>
      </c>
      <c r="E24" s="385">
        <v>7.0000000000000007E-2</v>
      </c>
      <c r="F24" s="389" t="s">
        <v>348</v>
      </c>
      <c r="G24" s="136"/>
      <c r="H24" s="137"/>
      <c r="I24" s="137"/>
      <c r="J24" s="137"/>
      <c r="K24" s="137"/>
      <c r="L24" s="137"/>
      <c r="M24" s="137"/>
      <c r="N24" s="137"/>
      <c r="O24" s="137"/>
      <c r="P24" s="137"/>
      <c r="Q24" s="137"/>
      <c r="R24" s="137"/>
      <c r="S24" s="137"/>
      <c r="T24" s="137"/>
    </row>
    <row r="25" spans="1:20" ht="15.6" customHeight="1" x14ac:dyDescent="0.3">
      <c r="B25" s="346"/>
      <c r="C25" s="190" t="s">
        <v>345</v>
      </c>
      <c r="D25" s="384"/>
      <c r="E25" s="383"/>
      <c r="F25" s="390"/>
      <c r="G25" s="136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</row>
    <row r="26" spans="1:20" ht="15.6" customHeight="1" x14ac:dyDescent="0.3">
      <c r="B26" s="346"/>
      <c r="C26" s="190" t="s">
        <v>346</v>
      </c>
      <c r="D26" s="384"/>
      <c r="E26" s="383"/>
      <c r="F26" s="390"/>
      <c r="G26" s="136"/>
      <c r="H26" s="137"/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137"/>
      <c r="T26" s="137"/>
    </row>
    <row r="27" spans="1:20" ht="15.6" customHeight="1" x14ac:dyDescent="0.3">
      <c r="B27" s="346"/>
      <c r="C27" s="190" t="s">
        <v>347</v>
      </c>
      <c r="D27" s="384"/>
      <c r="E27" s="383"/>
      <c r="F27" s="391"/>
      <c r="G27" s="136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</row>
    <row r="28" spans="1:20" ht="31.2" x14ac:dyDescent="0.3">
      <c r="B28" s="377"/>
      <c r="C28" s="161" t="s">
        <v>312</v>
      </c>
      <c r="D28" s="384"/>
      <c r="E28" s="383"/>
      <c r="F28" s="147" t="s">
        <v>32</v>
      </c>
      <c r="G28" s="136"/>
      <c r="H28" s="380"/>
      <c r="I28" s="380"/>
      <c r="J28" s="137"/>
      <c r="K28" s="137"/>
      <c r="L28" s="137"/>
      <c r="M28" s="137"/>
      <c r="N28" s="137"/>
      <c r="O28" s="137"/>
      <c r="P28" s="137"/>
      <c r="Q28" s="137"/>
      <c r="R28" s="137"/>
      <c r="S28" s="137"/>
      <c r="T28" s="137"/>
    </row>
    <row r="29" spans="1:20" ht="31.2" x14ac:dyDescent="0.3">
      <c r="B29" s="377"/>
      <c r="C29" s="161" t="s">
        <v>36</v>
      </c>
      <c r="D29" s="384"/>
      <c r="E29" s="383"/>
      <c r="F29" s="389" t="s">
        <v>35</v>
      </c>
      <c r="G29" s="136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</row>
    <row r="30" spans="1:20" ht="31.2" x14ac:dyDescent="0.3">
      <c r="B30" s="377"/>
      <c r="C30" s="161" t="s">
        <v>37</v>
      </c>
      <c r="D30" s="384"/>
      <c r="E30" s="383"/>
      <c r="F30" s="390"/>
      <c r="G30" s="136"/>
      <c r="H30" s="137"/>
      <c r="I30" s="137"/>
      <c r="J30" s="137"/>
      <c r="K30" s="137"/>
      <c r="L30" s="137"/>
      <c r="M30" s="137"/>
      <c r="N30" s="137"/>
      <c r="O30" s="137"/>
      <c r="P30" s="137"/>
      <c r="Q30" s="137"/>
      <c r="R30" s="137"/>
      <c r="S30" s="137"/>
      <c r="T30" s="137"/>
    </row>
    <row r="31" spans="1:20" ht="31.2" x14ac:dyDescent="0.3">
      <c r="B31" s="377"/>
      <c r="C31" s="190" t="s">
        <v>38</v>
      </c>
      <c r="D31" s="384"/>
      <c r="E31" s="383"/>
      <c r="F31" s="391"/>
      <c r="G31" s="136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</row>
    <row r="32" spans="1:20" ht="31.2" x14ac:dyDescent="0.3">
      <c r="B32" s="377"/>
      <c r="C32" s="190" t="s">
        <v>40</v>
      </c>
      <c r="D32" s="384"/>
      <c r="E32" s="383"/>
      <c r="F32" s="365" t="s">
        <v>39</v>
      </c>
      <c r="G32" s="136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</row>
    <row r="33" spans="2:20" ht="15.6" x14ac:dyDescent="0.3">
      <c r="B33" s="377"/>
      <c r="C33" s="190" t="s">
        <v>41</v>
      </c>
      <c r="D33" s="384"/>
      <c r="E33" s="383"/>
      <c r="F33" s="352"/>
      <c r="G33" s="136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</row>
    <row r="34" spans="2:20" ht="46.8" x14ac:dyDescent="0.3">
      <c r="B34" s="377"/>
      <c r="C34" s="161" t="s">
        <v>278</v>
      </c>
      <c r="D34" s="377"/>
      <c r="E34" s="383"/>
      <c r="F34" s="147" t="s">
        <v>42</v>
      </c>
      <c r="G34" s="136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</row>
    <row r="35" spans="2:20" ht="15.6" customHeight="1" x14ac:dyDescent="0.3">
      <c r="B35" s="346" t="s">
        <v>43</v>
      </c>
      <c r="C35" s="161" t="s">
        <v>44</v>
      </c>
      <c r="D35" s="196" t="s">
        <v>20</v>
      </c>
      <c r="E35" s="168">
        <v>7.0000000000000007E-2</v>
      </c>
      <c r="F35" s="374"/>
      <c r="G35" s="136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</row>
    <row r="36" spans="2:20" ht="15.6" x14ac:dyDescent="0.3">
      <c r="B36" s="346"/>
      <c r="C36" s="161" t="s">
        <v>321</v>
      </c>
      <c r="D36" s="196" t="s">
        <v>20</v>
      </c>
      <c r="E36" s="168">
        <v>0.08</v>
      </c>
      <c r="F36" s="366"/>
      <c r="G36" s="136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</row>
    <row r="37" spans="2:20" ht="15.6" x14ac:dyDescent="0.3">
      <c r="B37" s="346"/>
      <c r="C37" s="213" t="s">
        <v>45</v>
      </c>
      <c r="D37" s="196"/>
      <c r="E37" s="168">
        <v>0.1</v>
      </c>
      <c r="F37" s="366"/>
      <c r="G37" s="136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</row>
    <row r="38" spans="2:20" ht="16.350000000000001" customHeight="1" x14ac:dyDescent="0.3">
      <c r="B38" s="346"/>
      <c r="C38" s="161" t="s">
        <v>311</v>
      </c>
      <c r="D38" s="196" t="s">
        <v>20</v>
      </c>
      <c r="E38" s="168">
        <v>0.08</v>
      </c>
      <c r="F38" s="366"/>
      <c r="G38" s="136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</row>
    <row r="39" spans="2:20" ht="15.6" x14ac:dyDescent="0.3">
      <c r="B39" s="346"/>
      <c r="C39" s="161" t="s">
        <v>47</v>
      </c>
      <c r="D39" s="196" t="s">
        <v>20</v>
      </c>
      <c r="E39" s="168">
        <v>7.0000000000000007E-2</v>
      </c>
      <c r="F39" s="366"/>
      <c r="G39" s="136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</row>
    <row r="40" spans="2:20" ht="31.2" x14ac:dyDescent="0.3">
      <c r="B40" s="346" t="s">
        <v>371</v>
      </c>
      <c r="C40" s="190" t="s">
        <v>273</v>
      </c>
      <c r="D40" s="196" t="s">
        <v>20</v>
      </c>
      <c r="E40" s="168">
        <v>7.0000000000000007E-2</v>
      </c>
      <c r="F40" s="366"/>
      <c r="G40" s="380"/>
      <c r="H40" s="380"/>
      <c r="I40" s="137"/>
      <c r="J40" s="380"/>
      <c r="K40" s="380"/>
      <c r="L40" s="380"/>
      <c r="M40" s="137"/>
      <c r="N40" s="137"/>
      <c r="O40" s="143"/>
      <c r="P40" s="137"/>
      <c r="Q40" s="137"/>
      <c r="R40" s="137"/>
      <c r="S40" s="137"/>
      <c r="T40" s="137"/>
    </row>
    <row r="41" spans="2:20" ht="15.6" x14ac:dyDescent="0.3">
      <c r="B41" s="346"/>
      <c r="C41" s="190" t="s">
        <v>323</v>
      </c>
      <c r="D41" s="196" t="s">
        <v>20</v>
      </c>
      <c r="E41" s="168">
        <v>0.06</v>
      </c>
      <c r="F41" s="366"/>
      <c r="G41" s="153"/>
      <c r="H41" s="153"/>
      <c r="I41" s="137"/>
      <c r="J41" s="153"/>
      <c r="K41" s="153"/>
      <c r="L41" s="153"/>
      <c r="M41" s="137"/>
      <c r="N41" s="137"/>
      <c r="O41" s="143"/>
      <c r="P41" s="137"/>
      <c r="Q41" s="137"/>
      <c r="R41" s="137"/>
      <c r="S41" s="137"/>
      <c r="T41" s="137"/>
    </row>
    <row r="42" spans="2:20" ht="31.2" x14ac:dyDescent="0.3">
      <c r="B42" s="346"/>
      <c r="C42" s="190" t="s">
        <v>322</v>
      </c>
      <c r="D42" s="195" t="s">
        <v>20</v>
      </c>
      <c r="E42" s="168">
        <v>0.06</v>
      </c>
      <c r="F42" s="366"/>
      <c r="G42" s="153"/>
      <c r="H42" s="153"/>
      <c r="I42" s="137"/>
      <c r="J42" s="153"/>
      <c r="K42" s="153"/>
      <c r="L42" s="153"/>
      <c r="M42" s="137"/>
      <c r="N42" s="137"/>
      <c r="O42" s="143"/>
      <c r="P42" s="137"/>
      <c r="Q42" s="137"/>
      <c r="R42" s="137"/>
      <c r="S42" s="137"/>
      <c r="T42" s="137"/>
    </row>
    <row r="43" spans="2:20" ht="15.6" x14ac:dyDescent="0.3">
      <c r="B43" s="346"/>
      <c r="C43" s="186" t="s">
        <v>356</v>
      </c>
      <c r="D43" s="195" t="s">
        <v>20</v>
      </c>
      <c r="E43" s="168">
        <v>0.06</v>
      </c>
      <c r="F43" s="366"/>
      <c r="G43" s="153"/>
      <c r="H43" s="153"/>
      <c r="I43" s="137"/>
      <c r="J43" s="153"/>
      <c r="K43" s="153"/>
      <c r="L43" s="153"/>
      <c r="M43" s="137"/>
      <c r="N43" s="137"/>
      <c r="O43" s="143"/>
      <c r="P43" s="137"/>
      <c r="Q43" s="137"/>
      <c r="R43" s="137"/>
      <c r="S43" s="137"/>
      <c r="T43" s="137"/>
    </row>
    <row r="44" spans="2:20" ht="15.6" x14ac:dyDescent="0.3">
      <c r="B44" s="346"/>
      <c r="C44" s="186" t="s">
        <v>359</v>
      </c>
      <c r="D44" s="195" t="s">
        <v>20</v>
      </c>
      <c r="E44" s="168">
        <v>0.06</v>
      </c>
      <c r="F44" s="366"/>
      <c r="G44" s="153"/>
      <c r="H44" s="153"/>
      <c r="I44" s="137"/>
      <c r="J44" s="153"/>
      <c r="K44" s="153"/>
      <c r="L44" s="153"/>
      <c r="M44" s="137"/>
      <c r="N44" s="137"/>
      <c r="O44" s="143"/>
      <c r="P44" s="137"/>
      <c r="Q44" s="137"/>
      <c r="R44" s="137"/>
      <c r="S44" s="137"/>
      <c r="T44" s="137"/>
    </row>
    <row r="45" spans="2:20" ht="46.8" x14ac:dyDescent="0.3">
      <c r="B45" s="346"/>
      <c r="C45" s="186" t="s">
        <v>357</v>
      </c>
      <c r="D45" s="195" t="s">
        <v>20</v>
      </c>
      <c r="E45" s="168">
        <v>0.06</v>
      </c>
      <c r="F45" s="352"/>
      <c r="G45" s="153"/>
      <c r="H45" s="153"/>
      <c r="I45" s="137"/>
      <c r="J45" s="153"/>
      <c r="K45" s="153"/>
      <c r="L45" s="153"/>
      <c r="M45" s="137"/>
      <c r="N45" s="137"/>
      <c r="O45" s="143"/>
      <c r="P45" s="137"/>
      <c r="Q45" s="137"/>
      <c r="R45" s="137"/>
      <c r="S45" s="137"/>
      <c r="T45" s="137"/>
    </row>
    <row r="46" spans="2:20" ht="15.6" x14ac:dyDescent="0.3">
      <c r="B46" s="210"/>
      <c r="C46" s="210"/>
      <c r="D46" s="233"/>
      <c r="E46" s="209">
        <v>0.05</v>
      </c>
      <c r="F46" s="378"/>
      <c r="G46" s="136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</row>
    <row r="47" spans="2:20" ht="15.6" x14ac:dyDescent="0.3">
      <c r="B47" s="346" t="s">
        <v>288</v>
      </c>
      <c r="C47" s="161" t="s">
        <v>391</v>
      </c>
      <c r="D47" s="196" t="s">
        <v>20</v>
      </c>
      <c r="E47" s="169">
        <v>0.35</v>
      </c>
      <c r="F47" s="366"/>
    </row>
    <row r="48" spans="2:20" ht="15.6" x14ac:dyDescent="0.3">
      <c r="B48" s="381"/>
      <c r="C48" s="161" t="s">
        <v>353</v>
      </c>
      <c r="D48" s="196" t="s">
        <v>20</v>
      </c>
      <c r="E48" s="169">
        <v>0.25</v>
      </c>
      <c r="F48" s="366"/>
    </row>
    <row r="49" spans="2:20" ht="15.6" x14ac:dyDescent="0.3">
      <c r="B49" s="381"/>
      <c r="C49" s="190" t="s">
        <v>360</v>
      </c>
      <c r="D49" s="196" t="s">
        <v>20</v>
      </c>
      <c r="E49" s="169">
        <v>0.25</v>
      </c>
      <c r="F49" s="366"/>
    </row>
    <row r="50" spans="2:20" ht="31.2" x14ac:dyDescent="0.3">
      <c r="B50" s="381"/>
      <c r="C50" s="190" t="s">
        <v>361</v>
      </c>
      <c r="D50" s="196"/>
      <c r="E50" s="169"/>
      <c r="F50" s="366"/>
    </row>
    <row r="51" spans="2:20" ht="15.6" x14ac:dyDescent="0.3">
      <c r="B51" s="381"/>
      <c r="C51" s="190" t="s">
        <v>362</v>
      </c>
      <c r="D51" s="196" t="s">
        <v>20</v>
      </c>
      <c r="E51" s="169"/>
      <c r="F51" s="366"/>
    </row>
    <row r="52" spans="2:20" ht="15.6" x14ac:dyDescent="0.3">
      <c r="B52" s="381"/>
      <c r="C52" s="190" t="s">
        <v>392</v>
      </c>
      <c r="D52" s="196" t="s">
        <v>20</v>
      </c>
      <c r="E52" s="169">
        <v>0.15</v>
      </c>
      <c r="F52" s="352"/>
    </row>
    <row r="53" spans="2:20" ht="15.6" x14ac:dyDescent="0.3">
      <c r="B53" s="210"/>
      <c r="C53" s="223"/>
      <c r="D53" s="233"/>
      <c r="E53" s="209">
        <v>0.2</v>
      </c>
      <c r="F53" s="378"/>
      <c r="G53" s="136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</row>
    <row r="54" spans="2:20" ht="15.6" x14ac:dyDescent="0.3">
      <c r="B54" s="346" t="s">
        <v>373</v>
      </c>
      <c r="C54" s="193" t="s">
        <v>382</v>
      </c>
      <c r="D54" s="196"/>
      <c r="E54" s="169"/>
      <c r="F54" s="366"/>
    </row>
    <row r="55" spans="2:20" ht="15.6" x14ac:dyDescent="0.3">
      <c r="B55" s="377"/>
      <c r="C55" s="193" t="s">
        <v>383</v>
      </c>
      <c r="D55" s="196"/>
      <c r="E55" s="124"/>
      <c r="F55" s="366"/>
    </row>
    <row r="56" spans="2:20" ht="31.2" x14ac:dyDescent="0.3">
      <c r="B56" s="377"/>
      <c r="C56" s="193" t="s">
        <v>378</v>
      </c>
      <c r="D56" s="196"/>
      <c r="E56" s="124"/>
      <c r="F56" s="366"/>
    </row>
    <row r="57" spans="2:20" ht="46.8" x14ac:dyDescent="0.3">
      <c r="B57" s="377"/>
      <c r="C57" s="193" t="s">
        <v>398</v>
      </c>
      <c r="D57" s="196"/>
      <c r="E57" s="124"/>
      <c r="F57" s="366"/>
    </row>
    <row r="58" spans="2:20" ht="15.6" x14ac:dyDescent="0.3">
      <c r="B58" s="377"/>
      <c r="C58" s="193" t="s">
        <v>375</v>
      </c>
      <c r="D58" s="196"/>
      <c r="E58" s="124"/>
      <c r="F58" s="366"/>
    </row>
    <row r="59" spans="2:20" ht="15.6" x14ac:dyDescent="0.3">
      <c r="B59" s="377"/>
      <c r="C59" s="193"/>
      <c r="D59" s="196"/>
      <c r="E59" s="124"/>
      <c r="F59" s="366"/>
    </row>
    <row r="60" spans="2:20" ht="15.6" x14ac:dyDescent="0.3">
      <c r="B60" s="377"/>
      <c r="C60" s="193"/>
      <c r="D60" s="196"/>
      <c r="E60" s="124"/>
      <c r="F60" s="366"/>
    </row>
    <row r="61" spans="2:20" ht="15.6" x14ac:dyDescent="0.3">
      <c r="B61" s="377"/>
      <c r="C61" s="190"/>
      <c r="D61" s="196"/>
      <c r="E61" s="124"/>
      <c r="F61" s="352"/>
    </row>
    <row r="62" spans="2:20" ht="14.1" customHeight="1" x14ac:dyDescent="0.3">
      <c r="B62" s="239"/>
      <c r="C62" s="214"/>
      <c r="D62" s="216"/>
      <c r="E62" s="208">
        <v>0.1</v>
      </c>
      <c r="F62" s="379"/>
    </row>
    <row r="63" spans="2:20" ht="31.2" x14ac:dyDescent="0.3">
      <c r="B63" s="142" t="s">
        <v>282</v>
      </c>
      <c r="C63" s="197" t="s">
        <v>53</v>
      </c>
      <c r="D63" s="217" t="s">
        <v>20</v>
      </c>
      <c r="E63" s="187"/>
      <c r="F63" s="379"/>
    </row>
  </sheetData>
  <mergeCells count="24">
    <mergeCell ref="E1:E9"/>
    <mergeCell ref="B22:B23"/>
    <mergeCell ref="H28:I28"/>
    <mergeCell ref="D24:D34"/>
    <mergeCell ref="E24:E34"/>
    <mergeCell ref="F1:F11"/>
    <mergeCell ref="F12:F23"/>
    <mergeCell ref="F24:F27"/>
    <mergeCell ref="F29:F31"/>
    <mergeCell ref="F32:F33"/>
    <mergeCell ref="C1:D1"/>
    <mergeCell ref="B13:B16"/>
    <mergeCell ref="B18:B20"/>
    <mergeCell ref="B54:B61"/>
    <mergeCell ref="F53:F61"/>
    <mergeCell ref="F62:F63"/>
    <mergeCell ref="B24:B34"/>
    <mergeCell ref="J40:L40"/>
    <mergeCell ref="F35:F45"/>
    <mergeCell ref="G40:H40"/>
    <mergeCell ref="B47:B52"/>
    <mergeCell ref="B40:B45"/>
    <mergeCell ref="B35:B39"/>
    <mergeCell ref="F46:F5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7AA31-888C-482F-A2B7-AF5D3DBF399E}">
  <sheetPr>
    <tabColor rgb="FFA8F4FA"/>
  </sheetPr>
  <dimension ref="A1:S44"/>
  <sheetViews>
    <sheetView topLeftCell="B3" zoomScale="70" zoomScaleNormal="70" workbookViewId="0">
      <selection activeCell="C13" sqref="C13"/>
    </sheetView>
  </sheetViews>
  <sheetFormatPr defaultColWidth="9" defaultRowHeight="33.75" customHeight="1" x14ac:dyDescent="0.3"/>
  <cols>
    <col min="1" max="1" width="9" style="85" hidden="1" customWidth="1"/>
    <col min="2" max="2" width="31.33203125" style="261" customWidth="1"/>
    <col min="3" max="3" width="89.88671875" style="85" customWidth="1"/>
    <col min="4" max="4" width="76.109375" style="250" customWidth="1"/>
    <col min="5" max="5" width="27.5546875" style="250" customWidth="1"/>
    <col min="6" max="6" width="9" style="85"/>
    <col min="7" max="7" width="13.44140625" style="85" customWidth="1"/>
    <col min="8" max="8" width="10.88671875" style="85" customWidth="1"/>
    <col min="9" max="9" width="12.109375" style="85" customWidth="1"/>
    <col min="10" max="16384" width="9" style="85"/>
  </cols>
  <sheetData>
    <row r="1" spans="1:6" ht="15.6" x14ac:dyDescent="0.3">
      <c r="B1" s="204"/>
      <c r="C1" s="248" t="s">
        <v>17</v>
      </c>
      <c r="D1" s="248"/>
      <c r="E1" s="228">
        <v>0.1</v>
      </c>
      <c r="F1" s="263"/>
    </row>
    <row r="2" spans="1:6" ht="15.6" customHeight="1" x14ac:dyDescent="0.3">
      <c r="B2" s="346" t="s">
        <v>18</v>
      </c>
      <c r="C2" s="190" t="s">
        <v>21</v>
      </c>
      <c r="D2" s="240" t="s">
        <v>20</v>
      </c>
      <c r="E2" s="267">
        <v>0.4</v>
      </c>
      <c r="F2" s="265">
        <f>E1*E2</f>
        <v>4.0000000000000008E-2</v>
      </c>
    </row>
    <row r="3" spans="1:6" ht="15.6" customHeight="1" x14ac:dyDescent="0.3">
      <c r="B3" s="346"/>
      <c r="C3" s="190" t="s">
        <v>22</v>
      </c>
      <c r="D3" s="240" t="s">
        <v>20</v>
      </c>
      <c r="E3" s="267">
        <v>0.2</v>
      </c>
      <c r="F3" s="265">
        <f>E1*E3</f>
        <v>2.0000000000000004E-2</v>
      </c>
    </row>
    <row r="4" spans="1:6" ht="15.6" customHeight="1" x14ac:dyDescent="0.3">
      <c r="B4" s="346"/>
      <c r="C4" s="190" t="s">
        <v>272</v>
      </c>
      <c r="D4" s="240" t="s">
        <v>20</v>
      </c>
      <c r="E4" s="267">
        <v>0.2</v>
      </c>
      <c r="F4" s="265">
        <f>E1*E4</f>
        <v>2.0000000000000004E-2</v>
      </c>
    </row>
    <row r="5" spans="1:6" ht="15.6" customHeight="1" x14ac:dyDescent="0.3">
      <c r="B5" s="346"/>
      <c r="C5" s="190" t="s">
        <v>23</v>
      </c>
      <c r="D5" s="240" t="s">
        <v>20</v>
      </c>
      <c r="E5" s="267">
        <v>0.2</v>
      </c>
      <c r="F5" s="265">
        <f>E1*E5</f>
        <v>2.0000000000000004E-2</v>
      </c>
    </row>
    <row r="6" spans="1:6" ht="15.6" x14ac:dyDescent="0.3">
      <c r="B6" s="249"/>
      <c r="C6" s="223" t="s">
        <v>350</v>
      </c>
      <c r="D6" s="223"/>
      <c r="E6" s="230">
        <v>0.25</v>
      </c>
      <c r="F6" s="263"/>
    </row>
    <row r="7" spans="1:6" ht="15.6" x14ac:dyDescent="0.3">
      <c r="B7" s="343" t="s">
        <v>61</v>
      </c>
      <c r="C7" s="197" t="s">
        <v>393</v>
      </c>
      <c r="D7" s="240" t="s">
        <v>20</v>
      </c>
      <c r="E7" s="267">
        <v>0.6</v>
      </c>
      <c r="F7" s="265">
        <f>E6*E7</f>
        <v>0.15</v>
      </c>
    </row>
    <row r="8" spans="1:6" ht="15.6" x14ac:dyDescent="0.3">
      <c r="B8" s="345"/>
      <c r="C8" s="197" t="s">
        <v>380</v>
      </c>
      <c r="D8" s="240" t="s">
        <v>20</v>
      </c>
      <c r="E8" s="267">
        <v>0.4</v>
      </c>
      <c r="F8" s="265">
        <f>E6*E8</f>
        <v>0.1</v>
      </c>
    </row>
    <row r="9" spans="1:6" ht="31.2" x14ac:dyDescent="0.3">
      <c r="B9" s="210"/>
      <c r="C9" s="223" t="s">
        <v>351</v>
      </c>
      <c r="D9" s="223"/>
      <c r="E9" s="228">
        <v>0.3</v>
      </c>
      <c r="F9" s="263"/>
    </row>
    <row r="10" spans="1:6" ht="31.2" x14ac:dyDescent="0.3">
      <c r="A10" s="85" t="s">
        <v>352</v>
      </c>
      <c r="B10" s="343" t="s">
        <v>280</v>
      </c>
      <c r="C10" s="190" t="s">
        <v>402</v>
      </c>
      <c r="D10" s="240" t="s">
        <v>20</v>
      </c>
      <c r="E10" s="267">
        <v>0.1</v>
      </c>
      <c r="F10" s="265">
        <f>E9*E10</f>
        <v>0.03</v>
      </c>
    </row>
    <row r="11" spans="1:6" ht="31.2" x14ac:dyDescent="0.3">
      <c r="B11" s="344"/>
      <c r="C11" s="190" t="s">
        <v>403</v>
      </c>
      <c r="D11" s="240" t="s">
        <v>20</v>
      </c>
      <c r="E11" s="267">
        <v>0.1</v>
      </c>
      <c r="F11" s="265">
        <f>E9*E11</f>
        <v>0.03</v>
      </c>
    </row>
    <row r="12" spans="1:6" ht="15.6" customHeight="1" x14ac:dyDescent="0.3">
      <c r="B12" s="343" t="s">
        <v>377</v>
      </c>
      <c r="C12" s="161" t="s">
        <v>427</v>
      </c>
      <c r="D12" s="245" t="s">
        <v>20</v>
      </c>
      <c r="E12" s="246">
        <v>0.04</v>
      </c>
      <c r="F12" s="265">
        <f>E9*E12</f>
        <v>1.2E-2</v>
      </c>
    </row>
    <row r="13" spans="1:6" ht="34.5" customHeight="1" x14ac:dyDescent="0.3">
      <c r="B13" s="345"/>
      <c r="C13" s="161" t="s">
        <v>428</v>
      </c>
      <c r="D13" s="245" t="s">
        <v>20</v>
      </c>
      <c r="E13" s="246">
        <v>0.05</v>
      </c>
      <c r="F13" s="265">
        <f>E9*E13</f>
        <v>1.4999999999999999E-2</v>
      </c>
    </row>
    <row r="14" spans="1:6" ht="15.6" customHeight="1" x14ac:dyDescent="0.3">
      <c r="B14" s="345"/>
      <c r="C14" s="161" t="s">
        <v>437</v>
      </c>
      <c r="D14" s="245"/>
      <c r="E14" s="246">
        <v>0.08</v>
      </c>
      <c r="F14" s="265">
        <f>E9*E14</f>
        <v>2.4E-2</v>
      </c>
    </row>
    <row r="15" spans="1:6" ht="15.6" x14ac:dyDescent="0.3">
      <c r="B15" s="345"/>
      <c r="C15" s="161" t="s">
        <v>430</v>
      </c>
      <c r="D15" s="245" t="s">
        <v>20</v>
      </c>
      <c r="E15" s="246">
        <v>0.1</v>
      </c>
      <c r="F15" s="265">
        <f>E9*E15</f>
        <v>0.03</v>
      </c>
    </row>
    <row r="16" spans="1:6" ht="15.6" x14ac:dyDescent="0.3">
      <c r="B16" s="345"/>
      <c r="C16" s="161" t="s">
        <v>45</v>
      </c>
      <c r="D16" s="245" t="s">
        <v>20</v>
      </c>
      <c r="E16" s="246">
        <v>0.1</v>
      </c>
      <c r="F16" s="265">
        <f>E9*E16</f>
        <v>0.03</v>
      </c>
    </row>
    <row r="17" spans="2:14" ht="15.6" x14ac:dyDescent="0.3">
      <c r="B17" s="345"/>
      <c r="C17" s="161" t="s">
        <v>431</v>
      </c>
      <c r="D17" s="245" t="s">
        <v>20</v>
      </c>
      <c r="E17" s="246">
        <v>0.06</v>
      </c>
      <c r="F17" s="265">
        <f>E9*E17</f>
        <v>1.7999999999999999E-2</v>
      </c>
    </row>
    <row r="18" spans="2:14" ht="15.6" x14ac:dyDescent="0.3">
      <c r="B18" s="344"/>
      <c r="C18" s="161" t="s">
        <v>432</v>
      </c>
      <c r="D18" s="245" t="s">
        <v>20</v>
      </c>
      <c r="E18" s="246">
        <v>7.0000000000000007E-2</v>
      </c>
      <c r="F18" s="265">
        <f>E9*E18</f>
        <v>2.1000000000000001E-2</v>
      </c>
    </row>
    <row r="19" spans="2:14" ht="31.2" x14ac:dyDescent="0.3">
      <c r="B19" s="343" t="s">
        <v>371</v>
      </c>
      <c r="C19" s="190" t="s">
        <v>273</v>
      </c>
      <c r="D19" s="245" t="s">
        <v>20</v>
      </c>
      <c r="E19" s="246">
        <v>0.08</v>
      </c>
      <c r="F19" s="265">
        <f>E9*E19</f>
        <v>2.4E-2</v>
      </c>
      <c r="G19" s="251"/>
      <c r="I19" s="337"/>
      <c r="J19" s="337"/>
      <c r="K19" s="337"/>
      <c r="N19" s="250"/>
    </row>
    <row r="20" spans="2:14" ht="15.6" x14ac:dyDescent="0.3">
      <c r="B20" s="345"/>
      <c r="C20" s="190" t="s">
        <v>328</v>
      </c>
      <c r="D20" s="245" t="s">
        <v>20</v>
      </c>
      <c r="E20" s="246">
        <v>0.08</v>
      </c>
      <c r="F20" s="265">
        <f>E9*E20</f>
        <v>2.4E-2</v>
      </c>
      <c r="G20" s="251"/>
      <c r="I20" s="251"/>
      <c r="J20" s="251"/>
      <c r="K20" s="251"/>
      <c r="N20" s="250"/>
    </row>
    <row r="21" spans="2:14" ht="15.6" x14ac:dyDescent="0.3">
      <c r="B21" s="345"/>
      <c r="C21" s="190" t="s">
        <v>356</v>
      </c>
      <c r="D21" s="240" t="s">
        <v>20</v>
      </c>
      <c r="E21" s="246">
        <v>7.0000000000000007E-2</v>
      </c>
      <c r="F21" s="265">
        <f>E9*E21</f>
        <v>2.1000000000000001E-2</v>
      </c>
      <c r="G21" s="251"/>
      <c r="I21" s="251"/>
      <c r="J21" s="251"/>
      <c r="K21" s="251"/>
      <c r="N21" s="250"/>
    </row>
    <row r="22" spans="2:14" ht="15.6" x14ac:dyDescent="0.3">
      <c r="B22" s="345"/>
      <c r="C22" s="190" t="s">
        <v>438</v>
      </c>
      <c r="D22" s="240" t="s">
        <v>20</v>
      </c>
      <c r="E22" s="246">
        <v>7.0000000000000007E-2</v>
      </c>
      <c r="F22" s="265">
        <f>E9*E22</f>
        <v>2.1000000000000001E-2</v>
      </c>
      <c r="G22" s="251"/>
      <c r="I22" s="251"/>
      <c r="J22" s="251"/>
      <c r="K22" s="251"/>
      <c r="N22" s="250"/>
    </row>
    <row r="23" spans="2:14" ht="15.6" x14ac:dyDescent="0.3">
      <c r="B23" s="212"/>
      <c r="C23" s="212"/>
      <c r="D23" s="252"/>
      <c r="E23" s="228">
        <v>0.05</v>
      </c>
      <c r="F23" s="263"/>
    </row>
    <row r="24" spans="2:14" ht="15.6" x14ac:dyDescent="0.3">
      <c r="B24" s="338" t="s">
        <v>288</v>
      </c>
      <c r="C24" s="161" t="s">
        <v>372</v>
      </c>
      <c r="D24" s="240" t="s">
        <v>20</v>
      </c>
      <c r="E24" s="267">
        <v>0.3</v>
      </c>
      <c r="F24" s="265">
        <f>E23*E24</f>
        <v>1.4999999999999999E-2</v>
      </c>
    </row>
    <row r="25" spans="2:14" ht="15.6" x14ac:dyDescent="0.3">
      <c r="B25" s="347"/>
      <c r="C25" s="161" t="s">
        <v>353</v>
      </c>
      <c r="D25" s="240" t="s">
        <v>20</v>
      </c>
      <c r="E25" s="267">
        <v>0.25</v>
      </c>
      <c r="F25" s="265">
        <f>E23*E25</f>
        <v>1.2500000000000001E-2</v>
      </c>
    </row>
    <row r="26" spans="2:14" ht="15.6" x14ac:dyDescent="0.3">
      <c r="B26" s="347"/>
      <c r="C26" s="190" t="s">
        <v>360</v>
      </c>
      <c r="D26" s="240" t="s">
        <v>20</v>
      </c>
      <c r="E26" s="267">
        <v>0.2</v>
      </c>
      <c r="F26" s="265">
        <f>E23*E26</f>
        <v>1.0000000000000002E-2</v>
      </c>
    </row>
    <row r="27" spans="2:14" ht="31.2" x14ac:dyDescent="0.3">
      <c r="B27" s="347"/>
      <c r="C27" s="190" t="s">
        <v>361</v>
      </c>
      <c r="D27" s="240" t="s">
        <v>20</v>
      </c>
      <c r="E27" s="267">
        <v>0.15</v>
      </c>
      <c r="F27" s="265">
        <f>E23*E27</f>
        <v>7.4999999999999997E-3</v>
      </c>
    </row>
    <row r="28" spans="2:14" ht="15.6" x14ac:dyDescent="0.3">
      <c r="B28" s="348"/>
      <c r="C28" s="190" t="s">
        <v>362</v>
      </c>
      <c r="D28" s="240" t="s">
        <v>20</v>
      </c>
      <c r="E28" s="267">
        <v>0.1</v>
      </c>
      <c r="F28" s="265">
        <f>E23*E28</f>
        <v>5.000000000000001E-3</v>
      </c>
    </row>
    <row r="29" spans="2:14" ht="15.6" x14ac:dyDescent="0.3">
      <c r="B29" s="215"/>
      <c r="C29" s="214"/>
      <c r="D29" s="253"/>
      <c r="E29" s="230">
        <v>0.2</v>
      </c>
      <c r="F29" s="263"/>
    </row>
    <row r="30" spans="2:14" ht="15.6" x14ac:dyDescent="0.3">
      <c r="B30" s="339" t="s">
        <v>373</v>
      </c>
      <c r="C30" s="190" t="s">
        <v>382</v>
      </c>
      <c r="D30" s="240" t="s">
        <v>20</v>
      </c>
      <c r="E30" s="267">
        <v>0.25</v>
      </c>
      <c r="F30" s="265">
        <f>E29*E30</f>
        <v>0.05</v>
      </c>
    </row>
    <row r="31" spans="2:14" ht="15.6" x14ac:dyDescent="0.3">
      <c r="B31" s="339"/>
      <c r="C31" s="190" t="s">
        <v>358</v>
      </c>
      <c r="D31" s="240" t="s">
        <v>20</v>
      </c>
      <c r="E31" s="267">
        <v>0.25</v>
      </c>
      <c r="F31" s="265">
        <f>E29*E31</f>
        <v>0.05</v>
      </c>
    </row>
    <row r="32" spans="2:14" ht="15.6" x14ac:dyDescent="0.3">
      <c r="B32" s="339"/>
      <c r="C32" s="247" t="s">
        <v>420</v>
      </c>
      <c r="D32" s="240" t="s">
        <v>20</v>
      </c>
      <c r="E32" s="267">
        <v>0.1</v>
      </c>
      <c r="F32" s="265">
        <f>E29*E32</f>
        <v>2.0000000000000004E-2</v>
      </c>
    </row>
    <row r="33" spans="2:19" ht="31.2" x14ac:dyDescent="0.3">
      <c r="B33" s="339"/>
      <c r="C33" s="247" t="s">
        <v>444</v>
      </c>
      <c r="D33" s="240" t="s">
        <v>20</v>
      </c>
      <c r="E33" s="394">
        <v>0.2</v>
      </c>
      <c r="F33" s="397">
        <f>E29*E33</f>
        <v>4.0000000000000008E-2</v>
      </c>
    </row>
    <row r="34" spans="2:19" ht="15.6" x14ac:dyDescent="0.3">
      <c r="B34" s="339"/>
      <c r="C34" s="190" t="s">
        <v>421</v>
      </c>
      <c r="D34" s="240" t="s">
        <v>20</v>
      </c>
      <c r="E34" s="395"/>
      <c r="F34" s="390"/>
    </row>
    <row r="35" spans="2:19" ht="31.2" x14ac:dyDescent="0.3">
      <c r="B35" s="339"/>
      <c r="C35" s="190" t="s">
        <v>443</v>
      </c>
      <c r="D35" s="240" t="s">
        <v>20</v>
      </c>
      <c r="E35" s="396"/>
      <c r="F35" s="391"/>
    </row>
    <row r="36" spans="2:19" ht="31.2" x14ac:dyDescent="0.3">
      <c r="B36" s="339"/>
      <c r="C36" s="190" t="s">
        <v>445</v>
      </c>
      <c r="D36" s="240" t="s">
        <v>20</v>
      </c>
      <c r="E36" s="394">
        <v>0.2</v>
      </c>
      <c r="F36" s="397">
        <f>E29*E36</f>
        <v>4.0000000000000008E-2</v>
      </c>
    </row>
    <row r="37" spans="2:19" ht="46.8" x14ac:dyDescent="0.3">
      <c r="B37" s="339"/>
      <c r="C37" s="190" t="s">
        <v>419</v>
      </c>
      <c r="D37" s="240" t="s">
        <v>20</v>
      </c>
      <c r="E37" s="396"/>
      <c r="F37" s="391"/>
    </row>
    <row r="38" spans="2:19" ht="14.4" customHeight="1" x14ac:dyDescent="0.3">
      <c r="B38" s="348"/>
      <c r="C38" s="197" t="s">
        <v>442</v>
      </c>
      <c r="D38" s="240" t="s">
        <v>20</v>
      </c>
      <c r="E38" s="268"/>
      <c r="F38" s="265"/>
    </row>
    <row r="39" spans="2:19" ht="15.6" x14ac:dyDescent="0.3">
      <c r="B39" s="256"/>
      <c r="C39" s="214"/>
      <c r="D39" s="253"/>
      <c r="E39" s="269">
        <v>0.1</v>
      </c>
      <c r="F39" s="266"/>
    </row>
    <row r="40" spans="2:19" ht="31.2" x14ac:dyDescent="0.3">
      <c r="B40" s="142" t="s">
        <v>282</v>
      </c>
      <c r="C40" s="190" t="s">
        <v>53</v>
      </c>
      <c r="D40" s="245" t="s">
        <v>20</v>
      </c>
      <c r="E40" s="270">
        <v>1</v>
      </c>
      <c r="F40" s="266">
        <f>E39*E40</f>
        <v>0.1</v>
      </c>
    </row>
    <row r="41" spans="2:19" ht="15.6" x14ac:dyDescent="0.3">
      <c r="B41" s="185"/>
      <c r="C41" s="287"/>
      <c r="D41" s="288"/>
      <c r="E41" s="260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</row>
    <row r="42" spans="2:19" ht="33.75" customHeight="1" x14ac:dyDescent="0.3">
      <c r="C42" s="174" t="s">
        <v>58</v>
      </c>
      <c r="D42" s="174"/>
      <c r="E42" s="264"/>
      <c r="F42" s="263"/>
    </row>
    <row r="43" spans="2:19" ht="33.75" customHeight="1" x14ac:dyDescent="0.3">
      <c r="B43" s="262"/>
      <c r="C43" s="83" t="s">
        <v>59</v>
      </c>
      <c r="D43" s="123">
        <v>10</v>
      </c>
      <c r="E43" s="264"/>
      <c r="F43" s="263"/>
    </row>
    <row r="44" spans="2:19" ht="33.75" customHeight="1" x14ac:dyDescent="0.3">
      <c r="C44" s="89" t="s">
        <v>60</v>
      </c>
      <c r="D44" s="96"/>
      <c r="E44" s="264"/>
      <c r="F44" s="263"/>
    </row>
  </sheetData>
  <mergeCells count="12">
    <mergeCell ref="B30:B38"/>
    <mergeCell ref="E33:E35"/>
    <mergeCell ref="F33:F35"/>
    <mergeCell ref="F36:F37"/>
    <mergeCell ref="E36:E37"/>
    <mergeCell ref="B2:B5"/>
    <mergeCell ref="B7:B8"/>
    <mergeCell ref="B10:B11"/>
    <mergeCell ref="I19:K19"/>
    <mergeCell ref="B24:B28"/>
    <mergeCell ref="B12:B18"/>
    <mergeCell ref="B19:B22"/>
  </mergeCells>
  <dataValidations count="1">
    <dataValidation type="list" allowBlank="1" showInputMessage="1" showErrorMessage="1" sqref="D43" xr:uid="{A686C38C-9650-4D0F-B40C-5AA8E77241D1}">
      <formula1>"0, 1, 2, 3, 4, 5, 6, 7, 8, 9, 10"</formula1>
    </dataValidation>
  </dataValidation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69AEF-A25B-48C7-80F7-A9F46D1B89FE}">
  <sheetPr>
    <tabColor rgb="FFA8F4FA"/>
  </sheetPr>
  <dimension ref="A1:S49"/>
  <sheetViews>
    <sheetView topLeftCell="B26" zoomScale="70" zoomScaleNormal="70" workbookViewId="0">
      <selection activeCell="C47" sqref="C47"/>
    </sheetView>
  </sheetViews>
  <sheetFormatPr defaultColWidth="9" defaultRowHeight="33.75" customHeight="1" x14ac:dyDescent="0.3"/>
  <cols>
    <col min="1" max="1" width="9" style="85" hidden="1" customWidth="1"/>
    <col min="2" max="2" width="31.33203125" style="261" customWidth="1"/>
    <col min="3" max="3" width="89.88671875" style="85" customWidth="1"/>
    <col min="4" max="4" width="76.109375" style="250" customWidth="1"/>
    <col min="5" max="5" width="27.5546875" style="250" customWidth="1"/>
    <col min="6" max="6" width="9" style="85"/>
    <col min="7" max="7" width="13.44140625" style="85" customWidth="1"/>
    <col min="8" max="8" width="10.88671875" style="85" customWidth="1"/>
    <col min="9" max="9" width="12.109375" style="85" customWidth="1"/>
    <col min="10" max="16384" width="9" style="85"/>
  </cols>
  <sheetData>
    <row r="1" spans="1:8" ht="15.6" x14ac:dyDescent="0.3">
      <c r="B1" s="204"/>
      <c r="C1" s="248" t="s">
        <v>17</v>
      </c>
      <c r="D1" s="248"/>
      <c r="E1" s="228">
        <v>0.1</v>
      </c>
      <c r="F1" s="263"/>
    </row>
    <row r="2" spans="1:8" ht="15.6" customHeight="1" x14ac:dyDescent="0.3">
      <c r="B2" s="346" t="s">
        <v>18</v>
      </c>
      <c r="C2" s="190" t="s">
        <v>21</v>
      </c>
      <c r="D2" s="240" t="s">
        <v>20</v>
      </c>
      <c r="E2" s="267">
        <v>0.4</v>
      </c>
      <c r="F2" s="265">
        <f>E1*E2</f>
        <v>4.0000000000000008E-2</v>
      </c>
    </row>
    <row r="3" spans="1:8" ht="15.6" customHeight="1" x14ac:dyDescent="0.3">
      <c r="B3" s="346"/>
      <c r="C3" s="190" t="s">
        <v>22</v>
      </c>
      <c r="D3" s="240" t="s">
        <v>20</v>
      </c>
      <c r="E3" s="267">
        <v>0.2</v>
      </c>
      <c r="F3" s="265">
        <f>E1*E3</f>
        <v>2.0000000000000004E-2</v>
      </c>
    </row>
    <row r="4" spans="1:8" ht="15.6" customHeight="1" x14ac:dyDescent="0.3">
      <c r="B4" s="346"/>
      <c r="C4" s="190" t="s">
        <v>272</v>
      </c>
      <c r="D4" s="240" t="s">
        <v>20</v>
      </c>
      <c r="E4" s="267">
        <v>0.2</v>
      </c>
      <c r="F4" s="265">
        <f>E1*E4</f>
        <v>2.0000000000000004E-2</v>
      </c>
    </row>
    <row r="5" spans="1:8" ht="15.6" customHeight="1" x14ac:dyDescent="0.3">
      <c r="B5" s="346"/>
      <c r="C5" s="190" t="s">
        <v>23</v>
      </c>
      <c r="D5" s="240" t="s">
        <v>20</v>
      </c>
      <c r="E5" s="267">
        <v>0.2</v>
      </c>
      <c r="F5" s="265">
        <f>E1*E5</f>
        <v>2.0000000000000004E-2</v>
      </c>
    </row>
    <row r="6" spans="1:8" ht="15.6" x14ac:dyDescent="0.3">
      <c r="B6" s="249"/>
      <c r="C6" s="223" t="s">
        <v>350</v>
      </c>
      <c r="D6" s="223"/>
      <c r="E6" s="230">
        <v>0.25</v>
      </c>
      <c r="F6" s="263"/>
    </row>
    <row r="7" spans="1:8" ht="15.6" x14ac:dyDescent="0.3">
      <c r="B7" s="343" t="s">
        <v>61</v>
      </c>
      <c r="C7" s="197" t="s">
        <v>393</v>
      </c>
      <c r="D7" s="240" t="s">
        <v>20</v>
      </c>
      <c r="E7" s="267">
        <v>0.6</v>
      </c>
      <c r="F7" s="265">
        <f>E6*E7</f>
        <v>0.15</v>
      </c>
    </row>
    <row r="8" spans="1:8" ht="15.6" x14ac:dyDescent="0.3">
      <c r="B8" s="345"/>
      <c r="C8" s="197" t="s">
        <v>380</v>
      </c>
      <c r="D8" s="240" t="s">
        <v>20</v>
      </c>
      <c r="E8" s="267">
        <v>0.4</v>
      </c>
      <c r="F8" s="265">
        <f>E6*E8</f>
        <v>0.1</v>
      </c>
    </row>
    <row r="9" spans="1:8" ht="31.2" x14ac:dyDescent="0.3">
      <c r="B9" s="210"/>
      <c r="C9" s="223" t="s">
        <v>351</v>
      </c>
      <c r="D9" s="223"/>
      <c r="E9" s="228">
        <v>0.3</v>
      </c>
      <c r="F9" s="263"/>
    </row>
    <row r="10" spans="1:8" ht="31.2" x14ac:dyDescent="0.3">
      <c r="A10" s="85" t="s">
        <v>352</v>
      </c>
      <c r="B10" s="343" t="s">
        <v>280</v>
      </c>
      <c r="C10" s="190" t="s">
        <v>402</v>
      </c>
      <c r="D10" s="240" t="s">
        <v>20</v>
      </c>
      <c r="E10" s="267">
        <v>0.1</v>
      </c>
      <c r="F10" s="265">
        <f>E9*E10</f>
        <v>0.03</v>
      </c>
    </row>
    <row r="11" spans="1:8" ht="31.2" x14ac:dyDescent="0.3">
      <c r="B11" s="344"/>
      <c r="C11" s="190" t="s">
        <v>403</v>
      </c>
      <c r="D11" s="240" t="s">
        <v>20</v>
      </c>
      <c r="E11" s="267">
        <v>0.1</v>
      </c>
      <c r="F11" s="265">
        <f>E9*E11</f>
        <v>0.03</v>
      </c>
    </row>
    <row r="12" spans="1:8" ht="15.6" x14ac:dyDescent="0.3">
      <c r="B12" s="343" t="s">
        <v>370</v>
      </c>
      <c r="C12" s="190" t="s">
        <v>404</v>
      </c>
      <c r="D12" s="399" t="s">
        <v>29</v>
      </c>
      <c r="E12" s="398">
        <v>7.0000000000000007E-2</v>
      </c>
      <c r="F12" s="397">
        <v>2.1000000000000001E-2</v>
      </c>
    </row>
    <row r="13" spans="1:8" ht="15.6" customHeight="1" x14ac:dyDescent="0.3">
      <c r="B13" s="368"/>
      <c r="C13" s="190" t="s">
        <v>344</v>
      </c>
      <c r="D13" s="368"/>
      <c r="E13" s="349"/>
      <c r="F13" s="390"/>
    </row>
    <row r="14" spans="1:8" ht="15.6" customHeight="1" x14ac:dyDescent="0.3">
      <c r="B14" s="368"/>
      <c r="C14" s="190" t="s">
        <v>345</v>
      </c>
      <c r="D14" s="368"/>
      <c r="E14" s="349"/>
      <c r="F14" s="390"/>
    </row>
    <row r="15" spans="1:8" ht="15.6" customHeight="1" x14ac:dyDescent="0.3">
      <c r="B15" s="368"/>
      <c r="C15" s="190" t="s">
        <v>346</v>
      </c>
      <c r="D15" s="368"/>
      <c r="E15" s="349"/>
      <c r="F15" s="390"/>
    </row>
    <row r="16" spans="1:8" ht="31.2" x14ac:dyDescent="0.3">
      <c r="B16" s="368"/>
      <c r="C16" s="161" t="s">
        <v>312</v>
      </c>
      <c r="D16" s="368"/>
      <c r="E16" s="349"/>
      <c r="F16" s="390"/>
      <c r="G16" s="337"/>
      <c r="H16" s="337"/>
    </row>
    <row r="17" spans="2:14" ht="31.2" x14ac:dyDescent="0.3">
      <c r="B17" s="368"/>
      <c r="C17" s="161" t="s">
        <v>36</v>
      </c>
      <c r="D17" s="368"/>
      <c r="E17" s="349"/>
      <c r="F17" s="390"/>
    </row>
    <row r="18" spans="2:14" ht="31.2" x14ac:dyDescent="0.3">
      <c r="B18" s="368"/>
      <c r="C18" s="161" t="s">
        <v>37</v>
      </c>
      <c r="D18" s="368"/>
      <c r="E18" s="349"/>
      <c r="F18" s="390"/>
    </row>
    <row r="19" spans="2:14" ht="31.2" x14ac:dyDescent="0.3">
      <c r="B19" s="368"/>
      <c r="C19" s="190" t="s">
        <v>38</v>
      </c>
      <c r="D19" s="368"/>
      <c r="E19" s="349"/>
      <c r="F19" s="390"/>
    </row>
    <row r="20" spans="2:14" ht="31.2" x14ac:dyDescent="0.3">
      <c r="B20" s="368"/>
      <c r="C20" s="190" t="s">
        <v>40</v>
      </c>
      <c r="D20" s="368"/>
      <c r="E20" s="349"/>
      <c r="F20" s="390"/>
    </row>
    <row r="21" spans="2:14" ht="15.6" x14ac:dyDescent="0.3">
      <c r="B21" s="368"/>
      <c r="C21" s="191" t="s">
        <v>547</v>
      </c>
      <c r="D21" s="368"/>
      <c r="E21" s="349"/>
      <c r="F21" s="390"/>
    </row>
    <row r="22" spans="2:14" ht="46.8" x14ac:dyDescent="0.3">
      <c r="B22" s="369"/>
      <c r="C22" s="161" t="s">
        <v>278</v>
      </c>
      <c r="D22" s="369"/>
      <c r="E22" s="350"/>
      <c r="F22" s="391"/>
    </row>
    <row r="23" spans="2:14" ht="15.6" customHeight="1" x14ac:dyDescent="0.3">
      <c r="B23" s="343" t="s">
        <v>377</v>
      </c>
      <c r="C23" s="161" t="s">
        <v>405</v>
      </c>
      <c r="D23" s="245" t="s">
        <v>20</v>
      </c>
      <c r="E23" s="246">
        <v>0.04</v>
      </c>
      <c r="F23" s="265">
        <f>E9*E23</f>
        <v>1.2E-2</v>
      </c>
    </row>
    <row r="24" spans="2:14" ht="34.5" customHeight="1" x14ac:dyDescent="0.3">
      <c r="B24" s="345"/>
      <c r="C24" s="161" t="s">
        <v>428</v>
      </c>
      <c r="D24" s="245" t="s">
        <v>20</v>
      </c>
      <c r="E24" s="246">
        <v>0.05</v>
      </c>
      <c r="F24" s="265">
        <f>E9*E24</f>
        <v>1.4999999999999999E-2</v>
      </c>
    </row>
    <row r="25" spans="2:14" ht="15.6" customHeight="1" x14ac:dyDescent="0.3">
      <c r="B25" s="345"/>
      <c r="C25" s="161" t="s">
        <v>446</v>
      </c>
      <c r="D25" s="245"/>
      <c r="E25" s="246">
        <v>0.08</v>
      </c>
      <c r="F25" s="265">
        <f>E9*E25</f>
        <v>2.4E-2</v>
      </c>
    </row>
    <row r="26" spans="2:14" ht="15.6" x14ac:dyDescent="0.3">
      <c r="B26" s="345"/>
      <c r="C26" s="161" t="s">
        <v>430</v>
      </c>
      <c r="D26" s="245" t="s">
        <v>20</v>
      </c>
      <c r="E26" s="246">
        <v>0.08</v>
      </c>
      <c r="F26" s="265">
        <f>E9*E26</f>
        <v>2.4E-2</v>
      </c>
    </row>
    <row r="27" spans="2:14" ht="15.6" x14ac:dyDescent="0.3">
      <c r="B27" s="345"/>
      <c r="C27" s="161" t="s">
        <v>45</v>
      </c>
      <c r="D27" s="245" t="s">
        <v>20</v>
      </c>
      <c r="E27" s="246">
        <v>0.08</v>
      </c>
      <c r="F27" s="265">
        <f>E9*E27</f>
        <v>2.4E-2</v>
      </c>
    </row>
    <row r="28" spans="2:14" ht="15.6" x14ac:dyDescent="0.3">
      <c r="B28" s="345"/>
      <c r="C28" s="161" t="s">
        <v>431</v>
      </c>
      <c r="D28" s="245" t="s">
        <v>20</v>
      </c>
      <c r="E28" s="246">
        <v>0.06</v>
      </c>
      <c r="F28" s="265">
        <f>E9*E28</f>
        <v>1.7999999999999999E-2</v>
      </c>
    </row>
    <row r="29" spans="2:14" ht="15.6" x14ac:dyDescent="0.3">
      <c r="B29" s="344"/>
      <c r="C29" s="161" t="s">
        <v>432</v>
      </c>
      <c r="D29" s="245" t="s">
        <v>20</v>
      </c>
      <c r="E29" s="246">
        <v>7.0000000000000007E-2</v>
      </c>
      <c r="F29" s="265">
        <f>E9*E29</f>
        <v>2.1000000000000001E-2</v>
      </c>
    </row>
    <row r="30" spans="2:14" ht="31.2" x14ac:dyDescent="0.3">
      <c r="B30" s="343" t="s">
        <v>371</v>
      </c>
      <c r="C30" s="190" t="s">
        <v>273</v>
      </c>
      <c r="D30" s="245" t="s">
        <v>20</v>
      </c>
      <c r="E30" s="246">
        <v>7.0000000000000007E-2</v>
      </c>
      <c r="F30" s="265">
        <f>E9*E30</f>
        <v>2.1000000000000001E-2</v>
      </c>
      <c r="G30" s="251"/>
      <c r="I30" s="337"/>
      <c r="J30" s="337"/>
      <c r="K30" s="337"/>
      <c r="N30" s="250"/>
    </row>
    <row r="31" spans="2:14" ht="15.6" x14ac:dyDescent="0.3">
      <c r="B31" s="345"/>
      <c r="C31" s="190" t="s">
        <v>328</v>
      </c>
      <c r="D31" s="245" t="s">
        <v>20</v>
      </c>
      <c r="E31" s="246">
        <v>7.0000000000000007E-2</v>
      </c>
      <c r="F31" s="265">
        <f>E9*E31</f>
        <v>2.1000000000000001E-2</v>
      </c>
      <c r="G31" s="251"/>
      <c r="I31" s="251"/>
      <c r="J31" s="251"/>
      <c r="K31" s="251"/>
      <c r="N31" s="250"/>
    </row>
    <row r="32" spans="2:14" ht="15.6" x14ac:dyDescent="0.3">
      <c r="B32" s="345"/>
      <c r="C32" s="190" t="s">
        <v>356</v>
      </c>
      <c r="D32" s="240" t="s">
        <v>20</v>
      </c>
      <c r="E32" s="246">
        <v>0.06</v>
      </c>
      <c r="F32" s="265">
        <f>E9*E32</f>
        <v>1.7999999999999999E-2</v>
      </c>
      <c r="G32" s="251"/>
      <c r="I32" s="251"/>
      <c r="J32" s="251"/>
      <c r="K32" s="251"/>
      <c r="N32" s="250"/>
    </row>
    <row r="33" spans="2:19" ht="15.6" x14ac:dyDescent="0.3">
      <c r="B33" s="345"/>
      <c r="C33" s="190" t="s">
        <v>438</v>
      </c>
      <c r="D33" s="240" t="s">
        <v>20</v>
      </c>
      <c r="E33" s="246">
        <v>7.0000000000000007E-2</v>
      </c>
      <c r="F33" s="265">
        <f>E9*E33</f>
        <v>2.1000000000000001E-2</v>
      </c>
      <c r="G33" s="251"/>
      <c r="I33" s="251"/>
      <c r="J33" s="251"/>
      <c r="K33" s="251"/>
      <c r="N33" s="250"/>
    </row>
    <row r="34" spans="2:19" ht="15.6" x14ac:dyDescent="0.3">
      <c r="B34" s="212"/>
      <c r="C34" s="212"/>
      <c r="D34" s="252"/>
      <c r="E34" s="228">
        <v>0.05</v>
      </c>
      <c r="F34" s="263"/>
    </row>
    <row r="35" spans="2:19" ht="15.6" x14ac:dyDescent="0.3">
      <c r="B35" s="338" t="s">
        <v>288</v>
      </c>
      <c r="C35" s="161" t="s">
        <v>372</v>
      </c>
      <c r="D35" s="240" t="s">
        <v>20</v>
      </c>
      <c r="E35" s="267">
        <v>0.3</v>
      </c>
      <c r="F35" s="265">
        <f>E34*E35</f>
        <v>1.4999999999999999E-2</v>
      </c>
    </row>
    <row r="36" spans="2:19" ht="15.6" x14ac:dyDescent="0.3">
      <c r="B36" s="347"/>
      <c r="C36" s="161" t="s">
        <v>353</v>
      </c>
      <c r="D36" s="240" t="s">
        <v>20</v>
      </c>
      <c r="E36" s="267">
        <v>0.25</v>
      </c>
      <c r="F36" s="265">
        <f>E34*E36</f>
        <v>1.2500000000000001E-2</v>
      </c>
    </row>
    <row r="37" spans="2:19" ht="15.6" x14ac:dyDescent="0.3">
      <c r="B37" s="347"/>
      <c r="C37" s="190" t="s">
        <v>360</v>
      </c>
      <c r="D37" s="240" t="s">
        <v>20</v>
      </c>
      <c r="E37" s="267">
        <v>0.2</v>
      </c>
      <c r="F37" s="265">
        <f>E34*E37</f>
        <v>1.0000000000000002E-2</v>
      </c>
    </row>
    <row r="38" spans="2:19" ht="31.2" x14ac:dyDescent="0.3">
      <c r="B38" s="347"/>
      <c r="C38" s="190" t="s">
        <v>361</v>
      </c>
      <c r="D38" s="240" t="s">
        <v>20</v>
      </c>
      <c r="E38" s="267">
        <v>0.15</v>
      </c>
      <c r="F38" s="265">
        <f>E34*E38</f>
        <v>7.4999999999999997E-3</v>
      </c>
    </row>
    <row r="39" spans="2:19" ht="15.6" x14ac:dyDescent="0.3">
      <c r="B39" s="348"/>
      <c r="C39" s="190" t="s">
        <v>362</v>
      </c>
      <c r="D39" s="240" t="s">
        <v>20</v>
      </c>
      <c r="E39" s="267">
        <v>0.1</v>
      </c>
      <c r="F39" s="265">
        <f>E34*E39</f>
        <v>5.000000000000001E-3</v>
      </c>
    </row>
    <row r="40" spans="2:19" ht="15.6" x14ac:dyDescent="0.3">
      <c r="B40" s="215"/>
      <c r="C40" s="214"/>
      <c r="D40" s="253"/>
      <c r="E40" s="230">
        <v>0.2</v>
      </c>
      <c r="F40" s="263"/>
    </row>
    <row r="41" spans="2:19" ht="15.6" x14ac:dyDescent="0.3">
      <c r="B41" s="339" t="s">
        <v>373</v>
      </c>
      <c r="C41" s="190" t="s">
        <v>449</v>
      </c>
      <c r="D41" s="240" t="s">
        <v>20</v>
      </c>
      <c r="E41" s="267">
        <v>0.5</v>
      </c>
      <c r="F41" s="265">
        <f>E40*E41</f>
        <v>0.1</v>
      </c>
    </row>
    <row r="42" spans="2:19" ht="31.2" x14ac:dyDescent="0.3">
      <c r="B42" s="339"/>
      <c r="C42" s="190" t="s">
        <v>448</v>
      </c>
      <c r="D42" s="240" t="s">
        <v>20</v>
      </c>
      <c r="E42" s="267">
        <v>0.5</v>
      </c>
      <c r="F42" s="265">
        <f>E40*E42</f>
        <v>0.1</v>
      </c>
    </row>
    <row r="43" spans="2:19" ht="15.6" x14ac:dyDescent="0.3">
      <c r="B43" s="282"/>
      <c r="C43" s="295"/>
      <c r="D43" s="284"/>
      <c r="E43" s="297">
        <v>0.1</v>
      </c>
      <c r="F43" s="292"/>
    </row>
    <row r="44" spans="2:19" ht="15.6" x14ac:dyDescent="0.3">
      <c r="B44" s="346" t="s">
        <v>282</v>
      </c>
      <c r="C44" s="242" t="s">
        <v>414</v>
      </c>
      <c r="D44" s="245" t="s">
        <v>20</v>
      </c>
      <c r="E44" s="270">
        <v>0.7</v>
      </c>
      <c r="F44" s="265">
        <v>7.0000000000000007E-2</v>
      </c>
    </row>
    <row r="45" spans="2:19" ht="15.6" x14ac:dyDescent="0.3">
      <c r="B45" s="377"/>
      <c r="C45" s="190" t="s">
        <v>450</v>
      </c>
      <c r="D45" s="240" t="s">
        <v>411</v>
      </c>
      <c r="E45" s="257">
        <v>0.3</v>
      </c>
      <c r="F45" s="265">
        <v>0.03</v>
      </c>
    </row>
    <row r="46" spans="2:19" ht="15.6" x14ac:dyDescent="0.3">
      <c r="B46" s="185"/>
      <c r="C46" s="298"/>
      <c r="D46" s="288"/>
      <c r="E46" s="260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</row>
    <row r="47" spans="2:19" ht="33.75" customHeight="1" x14ac:dyDescent="0.3">
      <c r="C47" s="174" t="s">
        <v>58</v>
      </c>
      <c r="D47" s="174"/>
      <c r="E47" s="264"/>
      <c r="F47" s="263"/>
    </row>
    <row r="48" spans="2:19" ht="33.75" customHeight="1" x14ac:dyDescent="0.3">
      <c r="B48" s="262"/>
      <c r="C48" s="83" t="s">
        <v>59</v>
      </c>
      <c r="D48" s="123">
        <v>10</v>
      </c>
      <c r="E48" s="264"/>
      <c r="F48" s="263"/>
    </row>
    <row r="49" spans="3:6" ht="33.75" customHeight="1" x14ac:dyDescent="0.3">
      <c r="C49" s="89" t="s">
        <v>60</v>
      </c>
      <c r="D49" s="96"/>
      <c r="E49" s="264"/>
      <c r="F49" s="263"/>
    </row>
  </sheetData>
  <mergeCells count="14">
    <mergeCell ref="B44:B45"/>
    <mergeCell ref="B10:B11"/>
    <mergeCell ref="B2:B5"/>
    <mergeCell ref="B7:B8"/>
    <mergeCell ref="B30:B33"/>
    <mergeCell ref="I30:K30"/>
    <mergeCell ref="B35:B39"/>
    <mergeCell ref="B41:B42"/>
    <mergeCell ref="B12:B22"/>
    <mergeCell ref="G16:H16"/>
    <mergeCell ref="B23:B29"/>
    <mergeCell ref="E12:E22"/>
    <mergeCell ref="D12:D22"/>
    <mergeCell ref="F12:F22"/>
  </mergeCells>
  <dataValidations count="1">
    <dataValidation type="list" allowBlank="1" showInputMessage="1" showErrorMessage="1" sqref="D48" xr:uid="{89E2A97D-D243-4CF8-9057-59E2356B6389}">
      <formula1>"0, 1, 2, 3, 4, 5, 6, 7, 8, 9, 10"</formula1>
    </dataValidation>
  </dataValidation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27CC9-FBFB-4157-AB4D-9D54C1181A0C}">
  <sheetPr>
    <tabColor rgb="FFA8F4FA"/>
  </sheetPr>
  <dimension ref="A1:S14"/>
  <sheetViews>
    <sheetView topLeftCell="B1" zoomScale="70" zoomScaleNormal="70" workbookViewId="0">
      <selection activeCell="D23" sqref="D23"/>
    </sheetView>
  </sheetViews>
  <sheetFormatPr defaultColWidth="9" defaultRowHeight="33.75" customHeight="1" x14ac:dyDescent="0.3"/>
  <cols>
    <col min="1" max="1" width="9" style="138" hidden="1" customWidth="1"/>
    <col min="2" max="2" width="31.33203125" style="68" customWidth="1"/>
    <col min="3" max="3" width="89.88671875" style="139" customWidth="1"/>
    <col min="4" max="4" width="79.44140625" style="144" customWidth="1"/>
    <col min="5" max="5" width="27.5546875" style="144" customWidth="1"/>
    <col min="6" max="6" width="9" style="139"/>
    <col min="7" max="7" width="13.44140625" style="138" customWidth="1"/>
    <col min="8" max="8" width="10.88671875" style="138" customWidth="1"/>
    <col min="9" max="9" width="12.109375" style="138" customWidth="1"/>
    <col min="10" max="16384" width="9" style="138"/>
  </cols>
  <sheetData>
    <row r="1" spans="2:19" ht="15.6" x14ac:dyDescent="0.3">
      <c r="B1" s="241"/>
      <c r="C1" s="242"/>
      <c r="D1" s="242"/>
      <c r="E1" s="169"/>
      <c r="F1" s="242"/>
    </row>
    <row r="2" spans="2:19" ht="15.6" x14ac:dyDescent="0.3">
      <c r="B2" s="204"/>
      <c r="C2" s="205" t="s">
        <v>17</v>
      </c>
      <c r="D2" s="205"/>
      <c r="E2" s="208">
        <v>0.1</v>
      </c>
      <c r="F2" s="290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</row>
    <row r="3" spans="2:19" ht="15.6" customHeight="1" x14ac:dyDescent="0.3">
      <c r="B3" s="346" t="s">
        <v>18</v>
      </c>
      <c r="C3" s="189" t="s">
        <v>21</v>
      </c>
      <c r="D3" s="196" t="s">
        <v>20</v>
      </c>
      <c r="E3" s="169">
        <v>0.4</v>
      </c>
      <c r="F3" s="289">
        <f>E2*E3</f>
        <v>4.0000000000000008E-2</v>
      </c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</row>
    <row r="4" spans="2:19" ht="15.6" customHeight="1" x14ac:dyDescent="0.3">
      <c r="B4" s="346"/>
      <c r="C4" s="189" t="s">
        <v>22</v>
      </c>
      <c r="D4" s="196" t="s">
        <v>20</v>
      </c>
      <c r="E4" s="169">
        <v>0.2</v>
      </c>
      <c r="F4" s="289">
        <f>E2*E4</f>
        <v>2.0000000000000004E-2</v>
      </c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</row>
    <row r="5" spans="2:19" ht="15.6" customHeight="1" x14ac:dyDescent="0.3">
      <c r="B5" s="346"/>
      <c r="C5" s="189" t="s">
        <v>272</v>
      </c>
      <c r="D5" s="196" t="s">
        <v>20</v>
      </c>
      <c r="E5" s="169">
        <v>0.2</v>
      </c>
      <c r="F5" s="289">
        <f>E2*E5</f>
        <v>2.0000000000000004E-2</v>
      </c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</row>
    <row r="6" spans="2:19" ht="15.6" customHeight="1" x14ac:dyDescent="0.3">
      <c r="B6" s="346"/>
      <c r="C6" s="189" t="s">
        <v>23</v>
      </c>
      <c r="D6" s="196" t="s">
        <v>20</v>
      </c>
      <c r="E6" s="169">
        <v>0.2</v>
      </c>
      <c r="F6" s="289">
        <f>E2*E6</f>
        <v>2.0000000000000004E-2</v>
      </c>
      <c r="G6" s="137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</row>
    <row r="7" spans="2:19" ht="15.6" x14ac:dyDescent="0.3">
      <c r="B7" s="206"/>
      <c r="C7" s="207" t="s">
        <v>350</v>
      </c>
      <c r="D7" s="207"/>
      <c r="E7" s="209">
        <v>0.4</v>
      </c>
      <c r="F7" s="290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</row>
    <row r="8" spans="2:19" ht="15.6" x14ac:dyDescent="0.3">
      <c r="B8" s="142" t="s">
        <v>61</v>
      </c>
      <c r="C8" s="190" t="s">
        <v>393</v>
      </c>
      <c r="D8" s="196" t="s">
        <v>20</v>
      </c>
      <c r="E8" s="169">
        <v>1</v>
      </c>
      <c r="F8" s="291">
        <v>0.4</v>
      </c>
    </row>
    <row r="9" spans="2:19" ht="15.6" x14ac:dyDescent="0.3">
      <c r="B9" s="210"/>
      <c r="C9" s="223" t="s">
        <v>416</v>
      </c>
      <c r="D9" s="233"/>
      <c r="E9" s="209">
        <v>0.4</v>
      </c>
      <c r="F9" s="290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</row>
    <row r="10" spans="2:19" ht="15.6" x14ac:dyDescent="0.3">
      <c r="B10" s="343" t="s">
        <v>373</v>
      </c>
      <c r="C10" s="190" t="s">
        <v>447</v>
      </c>
      <c r="D10" s="196"/>
      <c r="E10" s="169">
        <v>0.5</v>
      </c>
      <c r="F10" s="291">
        <f>E9*E10</f>
        <v>0.2</v>
      </c>
    </row>
    <row r="11" spans="2:19" ht="46.8" x14ac:dyDescent="0.3">
      <c r="B11" s="345"/>
      <c r="C11" s="190" t="s">
        <v>412</v>
      </c>
      <c r="D11" s="196" t="s">
        <v>20</v>
      </c>
      <c r="E11" s="257">
        <v>0.3</v>
      </c>
      <c r="F11" s="291">
        <f>E9*E11</f>
        <v>0.12</v>
      </c>
    </row>
    <row r="12" spans="2:19" ht="15.6" x14ac:dyDescent="0.3">
      <c r="B12" s="344"/>
      <c r="C12" s="190" t="s">
        <v>413</v>
      </c>
      <c r="D12" s="196" t="s">
        <v>411</v>
      </c>
      <c r="E12" s="257">
        <v>0.2</v>
      </c>
      <c r="F12" s="291">
        <f>E9*E12</f>
        <v>8.0000000000000016E-2</v>
      </c>
    </row>
    <row r="13" spans="2:19" ht="15.6" x14ac:dyDescent="0.3">
      <c r="B13" s="243"/>
      <c r="C13" s="223" t="s">
        <v>415</v>
      </c>
      <c r="D13" s="233"/>
      <c r="E13" s="232">
        <v>0.1</v>
      </c>
      <c r="F13" s="290"/>
    </row>
    <row r="14" spans="2:19" ht="33.75" customHeight="1" x14ac:dyDescent="0.3">
      <c r="B14" s="142" t="s">
        <v>282</v>
      </c>
      <c r="C14" s="242" t="s">
        <v>414</v>
      </c>
      <c r="D14" s="244" t="s">
        <v>20</v>
      </c>
      <c r="E14" s="169">
        <v>1</v>
      </c>
      <c r="F14" s="291">
        <v>0.1</v>
      </c>
    </row>
  </sheetData>
  <mergeCells count="2">
    <mergeCell ref="B10:B12"/>
    <mergeCell ref="B3:B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D68A-158A-4F40-9AAE-60615FB2C0C3}">
  <dimension ref="A1:T71"/>
  <sheetViews>
    <sheetView topLeftCell="B1" zoomScale="83" zoomScaleNormal="83" workbookViewId="0">
      <selection activeCell="D6" sqref="D6"/>
    </sheetView>
  </sheetViews>
  <sheetFormatPr defaultColWidth="9" defaultRowHeight="33.75" customHeight="1" x14ac:dyDescent="0.3"/>
  <cols>
    <col min="1" max="1" width="9" style="138" hidden="1" customWidth="1"/>
    <col min="2" max="2" width="31.109375" style="68" customWidth="1"/>
    <col min="3" max="3" width="89.88671875" style="139" customWidth="1"/>
    <col min="4" max="4" width="76.109375" style="144" customWidth="1"/>
    <col min="5" max="5" width="23.44140625" style="144" customWidth="1"/>
    <col min="6" max="6" width="9" style="139"/>
    <col min="7" max="7" width="13.44140625" style="138" customWidth="1"/>
    <col min="8" max="8" width="10.88671875" style="138" customWidth="1"/>
    <col min="9" max="9" width="12.109375" style="138" customWidth="1"/>
    <col min="10" max="16384" width="9" style="138"/>
  </cols>
  <sheetData>
    <row r="1" spans="2:19" ht="33" customHeight="1" x14ac:dyDescent="0.3">
      <c r="B1" s="409" t="s">
        <v>313</v>
      </c>
      <c r="C1" s="392" t="s">
        <v>13</v>
      </c>
      <c r="D1" s="392"/>
      <c r="E1" s="179"/>
      <c r="F1" s="136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</row>
    <row r="2" spans="2:19" ht="15.6" x14ac:dyDescent="0.3">
      <c r="B2" s="409"/>
      <c r="C2" s="53" t="s">
        <v>284</v>
      </c>
      <c r="D2" s="53" t="s">
        <v>298</v>
      </c>
      <c r="E2" s="179"/>
      <c r="F2" s="136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</row>
    <row r="3" spans="2:19" ht="15.6" x14ac:dyDescent="0.3">
      <c r="B3" s="409"/>
      <c r="C3" s="53" t="s">
        <v>275</v>
      </c>
      <c r="D3" s="53" t="s">
        <v>308</v>
      </c>
      <c r="E3" s="179"/>
      <c r="F3" s="136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</row>
    <row r="4" spans="2:19" ht="15.6" x14ac:dyDescent="0.3">
      <c r="B4" s="409"/>
      <c r="C4" s="52" t="s">
        <v>274</v>
      </c>
      <c r="D4" s="135" t="s">
        <v>299</v>
      </c>
      <c r="E4" s="179"/>
      <c r="F4" s="136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</row>
    <row r="5" spans="2:19" ht="62.4" x14ac:dyDescent="0.3">
      <c r="B5" s="409"/>
      <c r="C5" s="52" t="s">
        <v>281</v>
      </c>
      <c r="D5" s="52" t="s">
        <v>309</v>
      </c>
      <c r="E5" s="179"/>
      <c r="F5" s="136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</row>
    <row r="6" spans="2:19" ht="234" x14ac:dyDescent="0.3">
      <c r="B6" s="409"/>
      <c r="C6" s="52" t="s">
        <v>300</v>
      </c>
      <c r="D6" s="52" t="s">
        <v>339</v>
      </c>
      <c r="E6" s="179"/>
      <c r="F6" s="136"/>
      <c r="G6" s="137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</row>
    <row r="7" spans="2:19" ht="15.6" x14ac:dyDescent="0.3">
      <c r="B7" s="409"/>
      <c r="C7" s="52" t="s">
        <v>301</v>
      </c>
      <c r="D7" s="52" t="s">
        <v>276</v>
      </c>
      <c r="E7" s="179"/>
      <c r="F7" s="136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</row>
    <row r="8" spans="2:19" ht="15.6" x14ac:dyDescent="0.3">
      <c r="B8" s="409"/>
      <c r="C8" s="52"/>
      <c r="D8" s="52"/>
      <c r="E8" s="179"/>
      <c r="F8" s="136"/>
      <c r="G8" s="137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</row>
    <row r="9" spans="2:19" ht="15.6" x14ac:dyDescent="0.3">
      <c r="B9" s="409"/>
      <c r="C9" s="147"/>
      <c r="D9" s="147"/>
      <c r="E9" s="179"/>
      <c r="F9" s="136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</row>
    <row r="10" spans="2:19" ht="15.6" x14ac:dyDescent="0.3">
      <c r="B10" s="409"/>
      <c r="C10" s="148" t="s">
        <v>334</v>
      </c>
      <c r="D10" s="140"/>
      <c r="E10" s="167">
        <v>0.1</v>
      </c>
      <c r="F10" s="136"/>
      <c r="G10" s="137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</row>
    <row r="11" spans="2:19" ht="46.8" x14ac:dyDescent="0.3">
      <c r="B11" s="346" t="s">
        <v>283</v>
      </c>
      <c r="C11" s="52" t="s">
        <v>19</v>
      </c>
      <c r="D11" s="159"/>
      <c r="E11" s="177"/>
      <c r="F11" s="136"/>
      <c r="G11" s="137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</row>
    <row r="12" spans="2:19" ht="15.6" customHeight="1" x14ac:dyDescent="0.3">
      <c r="B12" s="346"/>
      <c r="C12" s="53" t="s">
        <v>271</v>
      </c>
      <c r="D12" s="159"/>
      <c r="E12" s="177"/>
      <c r="F12" s="136"/>
      <c r="G12" s="137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</row>
    <row r="13" spans="2:19" ht="15.6" customHeight="1" x14ac:dyDescent="0.3">
      <c r="B13" s="346"/>
      <c r="C13" s="52" t="s">
        <v>21</v>
      </c>
      <c r="D13" s="159" t="s">
        <v>20</v>
      </c>
      <c r="E13" s="168">
        <v>0.25</v>
      </c>
      <c r="F13" s="136"/>
      <c r="G13" s="137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</row>
    <row r="14" spans="2:19" ht="15.6" customHeight="1" x14ac:dyDescent="0.3">
      <c r="B14" s="346"/>
      <c r="C14" s="52" t="s">
        <v>22</v>
      </c>
      <c r="D14" s="159" t="s">
        <v>20</v>
      </c>
      <c r="E14" s="168">
        <v>0.1</v>
      </c>
      <c r="F14" s="136"/>
      <c r="G14" s="137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</row>
    <row r="15" spans="2:19" ht="15.6" customHeight="1" x14ac:dyDescent="0.3">
      <c r="B15" s="346"/>
      <c r="C15" s="52" t="s">
        <v>272</v>
      </c>
      <c r="D15" s="159" t="s">
        <v>20</v>
      </c>
      <c r="E15" s="168">
        <v>0.1</v>
      </c>
      <c r="F15" s="136"/>
      <c r="G15" s="137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</row>
    <row r="16" spans="2:19" ht="15.6" customHeight="1" x14ac:dyDescent="0.3">
      <c r="B16" s="346"/>
      <c r="C16" s="52" t="s">
        <v>23</v>
      </c>
      <c r="D16" s="159" t="s">
        <v>20</v>
      </c>
      <c r="E16" s="168">
        <v>0.1</v>
      </c>
      <c r="F16" s="136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</row>
    <row r="17" spans="1:20" ht="15.6" x14ac:dyDescent="0.3">
      <c r="B17" s="338" t="s">
        <v>61</v>
      </c>
      <c r="C17" s="178" t="s">
        <v>335</v>
      </c>
      <c r="D17" s="140"/>
      <c r="E17" s="169"/>
      <c r="F17" s="141"/>
      <c r="G17" s="136"/>
      <c r="H17" s="137"/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</row>
    <row r="18" spans="1:20" ht="15.6" x14ac:dyDescent="0.3">
      <c r="B18" s="410"/>
      <c r="C18" s="134" t="s">
        <v>319</v>
      </c>
      <c r="D18" s="159" t="s">
        <v>20</v>
      </c>
      <c r="E18" s="168">
        <v>0.25</v>
      </c>
      <c r="F18" s="141"/>
      <c r="G18" s="136"/>
      <c r="H18" s="137"/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</row>
    <row r="19" spans="1:20" ht="15.6" x14ac:dyDescent="0.3">
      <c r="B19" s="411"/>
      <c r="C19" s="134" t="s">
        <v>62</v>
      </c>
      <c r="D19" s="159" t="s">
        <v>20</v>
      </c>
      <c r="E19" s="168">
        <v>0.2</v>
      </c>
      <c r="F19" s="141"/>
      <c r="G19" s="136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</row>
    <row r="20" spans="1:20" ht="31.2" x14ac:dyDescent="0.3">
      <c r="B20" s="142"/>
      <c r="C20" s="148" t="s">
        <v>336</v>
      </c>
      <c r="D20" s="140"/>
      <c r="E20" s="176">
        <v>0.4</v>
      </c>
      <c r="F20" s="136"/>
      <c r="G20" s="137"/>
      <c r="H20" s="137"/>
      <c r="I20" s="137"/>
      <c r="J20" s="137"/>
      <c r="K20" s="137"/>
      <c r="L20" s="137"/>
      <c r="M20" s="137"/>
      <c r="N20" s="137"/>
      <c r="O20" s="137"/>
      <c r="P20" s="137"/>
      <c r="Q20" s="137"/>
      <c r="R20" s="137"/>
      <c r="S20" s="137"/>
    </row>
    <row r="21" spans="1:20" ht="15.6" x14ac:dyDescent="0.3">
      <c r="B21" s="343" t="s">
        <v>280</v>
      </c>
      <c r="C21" s="134" t="s">
        <v>327</v>
      </c>
      <c r="D21" s="159" t="s">
        <v>20</v>
      </c>
      <c r="E21" s="168">
        <v>0.1</v>
      </c>
      <c r="F21" s="141"/>
      <c r="G21" s="136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7"/>
      <c r="S21" s="137"/>
      <c r="T21" s="137"/>
    </row>
    <row r="22" spans="1:20" ht="15.6" x14ac:dyDescent="0.3">
      <c r="A22" s="138" t="s">
        <v>310</v>
      </c>
      <c r="B22" s="368"/>
      <c r="C22" s="83" t="s">
        <v>27</v>
      </c>
      <c r="D22" s="160" t="s">
        <v>20</v>
      </c>
      <c r="E22" s="168">
        <v>0.05</v>
      </c>
      <c r="F22" s="136"/>
      <c r="G22" s="136"/>
      <c r="H22" s="137"/>
      <c r="I22" s="137"/>
      <c r="J22" s="137"/>
      <c r="K22" s="137"/>
      <c r="L22" s="137"/>
      <c r="M22" s="137"/>
      <c r="N22" s="137"/>
      <c r="O22" s="137"/>
      <c r="P22" s="137"/>
      <c r="Q22" s="137"/>
      <c r="R22" s="137"/>
      <c r="S22" s="137"/>
      <c r="T22" s="137"/>
    </row>
    <row r="23" spans="1:20" ht="15.6" x14ac:dyDescent="0.3">
      <c r="B23" s="369"/>
      <c r="C23" s="83" t="s">
        <v>320</v>
      </c>
      <c r="D23" s="160" t="s">
        <v>20</v>
      </c>
      <c r="E23" s="168">
        <v>0.1</v>
      </c>
      <c r="F23" s="136"/>
      <c r="G23" s="136"/>
      <c r="H23" s="137"/>
      <c r="I23" s="137"/>
      <c r="J23" s="137"/>
      <c r="K23" s="137"/>
      <c r="L23" s="137"/>
      <c r="M23" s="137"/>
      <c r="N23" s="137"/>
      <c r="O23" s="137"/>
      <c r="P23" s="137"/>
      <c r="Q23" s="137"/>
      <c r="R23" s="137"/>
      <c r="S23" s="137"/>
      <c r="T23" s="137"/>
    </row>
    <row r="24" spans="1:20" ht="15.75" customHeight="1" x14ac:dyDescent="0.3">
      <c r="B24" s="142" t="s">
        <v>28</v>
      </c>
      <c r="C24" s="83" t="s">
        <v>286</v>
      </c>
      <c r="D24" s="160" t="s">
        <v>20</v>
      </c>
      <c r="E24" s="168">
        <v>0.05</v>
      </c>
      <c r="F24" s="136"/>
      <c r="G24" s="137"/>
      <c r="H24" s="137"/>
      <c r="I24" s="137"/>
      <c r="J24" s="137"/>
      <c r="K24" s="137"/>
      <c r="L24" s="137"/>
      <c r="M24" s="137"/>
      <c r="N24" s="137"/>
      <c r="O24" s="137"/>
      <c r="P24" s="137"/>
      <c r="Q24" s="137"/>
      <c r="R24" s="137"/>
      <c r="S24" s="137"/>
    </row>
    <row r="25" spans="1:20" ht="15.6" customHeight="1" x14ac:dyDescent="0.3">
      <c r="B25" s="142" t="s">
        <v>30</v>
      </c>
      <c r="C25" s="83" t="s">
        <v>31</v>
      </c>
      <c r="D25" s="159" t="s">
        <v>20</v>
      </c>
      <c r="E25" s="168">
        <v>0.05</v>
      </c>
      <c r="F25" s="136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</row>
    <row r="26" spans="1:20" ht="31.2" x14ac:dyDescent="0.3">
      <c r="A26" s="412"/>
      <c r="B26" s="151" t="s">
        <v>32</v>
      </c>
      <c r="C26" s="161" t="s">
        <v>312</v>
      </c>
      <c r="D26" s="413" t="s">
        <v>29</v>
      </c>
      <c r="E26" s="401">
        <v>0.05</v>
      </c>
      <c r="F26" s="136"/>
      <c r="G26" s="136"/>
      <c r="H26" s="380" t="s">
        <v>34</v>
      </c>
      <c r="I26" s="380"/>
      <c r="J26" s="137"/>
      <c r="K26" s="137"/>
      <c r="L26" s="137"/>
      <c r="M26" s="137"/>
      <c r="N26" s="137"/>
      <c r="O26" s="137"/>
      <c r="P26" s="137"/>
      <c r="Q26" s="137"/>
      <c r="R26" s="137"/>
      <c r="S26" s="137"/>
      <c r="T26" s="137"/>
    </row>
    <row r="27" spans="1:20" ht="14.4" customHeight="1" x14ac:dyDescent="0.3">
      <c r="A27" s="412"/>
      <c r="B27" s="346" t="s">
        <v>35</v>
      </c>
      <c r="C27" s="161" t="s">
        <v>36</v>
      </c>
      <c r="D27" s="413"/>
      <c r="E27" s="377"/>
      <c r="F27" s="136"/>
      <c r="G27" s="136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</row>
    <row r="28" spans="1:20" ht="14.4" customHeight="1" x14ac:dyDescent="0.3">
      <c r="A28" s="412"/>
      <c r="B28" s="346"/>
      <c r="C28" s="162" t="s">
        <v>37</v>
      </c>
      <c r="D28" s="413"/>
      <c r="E28" s="377"/>
      <c r="F28" s="136"/>
      <c r="G28" s="136"/>
      <c r="H28" s="137"/>
      <c r="I28" s="137"/>
      <c r="J28" s="137"/>
      <c r="K28" s="137"/>
      <c r="L28" s="137"/>
      <c r="M28" s="137"/>
      <c r="N28" s="137"/>
      <c r="O28" s="137"/>
      <c r="P28" s="137"/>
      <c r="Q28" s="137"/>
      <c r="R28" s="137"/>
      <c r="S28" s="137"/>
      <c r="T28" s="137"/>
    </row>
    <row r="29" spans="1:20" ht="14.4" customHeight="1" x14ac:dyDescent="0.3">
      <c r="A29" s="412"/>
      <c r="B29" s="346"/>
      <c r="C29" s="163" t="s">
        <v>38</v>
      </c>
      <c r="D29" s="413"/>
      <c r="E29" s="377"/>
      <c r="F29" s="136"/>
      <c r="G29" s="136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</row>
    <row r="30" spans="1:20" ht="14.4" customHeight="1" x14ac:dyDescent="0.3">
      <c r="A30" s="412"/>
      <c r="B30" s="345" t="s">
        <v>39</v>
      </c>
      <c r="C30" s="83" t="s">
        <v>40</v>
      </c>
      <c r="D30" s="413"/>
      <c r="E30" s="377"/>
      <c r="F30" s="136"/>
      <c r="G30" s="136"/>
      <c r="H30" s="137"/>
      <c r="I30" s="137"/>
      <c r="J30" s="137"/>
      <c r="K30" s="137"/>
      <c r="L30" s="137"/>
      <c r="M30" s="137"/>
      <c r="N30" s="137"/>
      <c r="O30" s="137"/>
      <c r="P30" s="137"/>
      <c r="Q30" s="137"/>
      <c r="R30" s="137"/>
      <c r="S30" s="137"/>
      <c r="T30" s="137"/>
    </row>
    <row r="31" spans="1:20" ht="14.4" customHeight="1" x14ac:dyDescent="0.3">
      <c r="A31" s="412"/>
      <c r="B31" s="344"/>
      <c r="C31" s="164" t="s">
        <v>41</v>
      </c>
      <c r="D31" s="413"/>
      <c r="E31" s="377"/>
      <c r="F31" s="136"/>
      <c r="G31" s="136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</row>
    <row r="32" spans="1:20" ht="46.8" x14ac:dyDescent="0.3">
      <c r="A32" s="412"/>
      <c r="B32" s="142" t="s">
        <v>42</v>
      </c>
      <c r="C32" s="133" t="s">
        <v>278</v>
      </c>
      <c r="D32" s="180" t="s">
        <v>20</v>
      </c>
      <c r="E32" s="168">
        <v>7.0000000000000007E-2</v>
      </c>
      <c r="F32" s="136"/>
      <c r="G32" s="136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</row>
    <row r="33" spans="2:20" ht="15.6" customHeight="1" x14ac:dyDescent="0.3">
      <c r="B33" s="343" t="s">
        <v>43</v>
      </c>
      <c r="C33" s="133" t="s">
        <v>44</v>
      </c>
      <c r="D33" s="160" t="s">
        <v>20</v>
      </c>
      <c r="E33" s="168">
        <v>0.05</v>
      </c>
      <c r="G33" s="136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</row>
    <row r="34" spans="2:20" ht="21" customHeight="1" x14ac:dyDescent="0.3">
      <c r="B34" s="345"/>
      <c r="C34" s="133" t="s">
        <v>321</v>
      </c>
      <c r="D34" s="160" t="s">
        <v>20</v>
      </c>
      <c r="E34" s="168">
        <v>0.05</v>
      </c>
      <c r="F34" s="136"/>
      <c r="G34" s="136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</row>
    <row r="35" spans="2:20" ht="21" customHeight="1" x14ac:dyDescent="0.3">
      <c r="B35" s="345"/>
      <c r="C35" s="133" t="s">
        <v>45</v>
      </c>
      <c r="D35" s="160" t="s">
        <v>20</v>
      </c>
      <c r="E35" s="168">
        <v>0.1</v>
      </c>
      <c r="F35" s="136"/>
      <c r="G35" s="136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</row>
    <row r="36" spans="2:20" ht="15.9" customHeight="1" x14ac:dyDescent="0.3">
      <c r="B36" s="345"/>
      <c r="C36" s="133" t="s">
        <v>311</v>
      </c>
      <c r="D36" s="160" t="s">
        <v>20</v>
      </c>
      <c r="E36" s="168">
        <v>0.1</v>
      </c>
      <c r="F36" s="136"/>
      <c r="G36" s="136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</row>
    <row r="37" spans="2:20" ht="15.6" x14ac:dyDescent="0.3">
      <c r="B37" s="344"/>
      <c r="C37" s="133" t="s">
        <v>47</v>
      </c>
      <c r="D37" s="160" t="s">
        <v>20</v>
      </c>
      <c r="E37" s="168">
        <v>0.03</v>
      </c>
      <c r="F37" s="136"/>
      <c r="G37" s="136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</row>
    <row r="38" spans="2:20" ht="31.2" x14ac:dyDescent="0.3">
      <c r="B38" s="346" t="s">
        <v>48</v>
      </c>
      <c r="C38" s="83" t="s">
        <v>273</v>
      </c>
      <c r="D38" s="160" t="s">
        <v>20</v>
      </c>
      <c r="E38" s="168">
        <v>0.1</v>
      </c>
      <c r="F38" s="136"/>
      <c r="G38" s="380"/>
      <c r="H38" s="380"/>
      <c r="I38" s="137"/>
      <c r="J38" s="380"/>
      <c r="K38" s="380"/>
      <c r="L38" s="380"/>
      <c r="M38" s="137"/>
      <c r="N38" s="137"/>
      <c r="O38" s="143"/>
      <c r="P38" s="137"/>
      <c r="Q38" s="137"/>
      <c r="R38" s="137"/>
      <c r="S38" s="137"/>
      <c r="T38" s="137"/>
    </row>
    <row r="39" spans="2:20" ht="31.2" x14ac:dyDescent="0.3">
      <c r="B39" s="346"/>
      <c r="C39" s="83" t="s">
        <v>322</v>
      </c>
      <c r="D39" s="160" t="s">
        <v>20</v>
      </c>
      <c r="E39" s="168">
        <v>0.05</v>
      </c>
      <c r="F39" s="136"/>
      <c r="G39" s="153"/>
      <c r="H39" s="153"/>
      <c r="I39" s="137"/>
      <c r="J39" s="153"/>
      <c r="K39" s="153"/>
      <c r="L39" s="153"/>
      <c r="M39" s="137"/>
      <c r="N39" s="137"/>
      <c r="O39" s="143"/>
      <c r="P39" s="137"/>
      <c r="Q39" s="137"/>
      <c r="R39" s="137"/>
      <c r="S39" s="137"/>
      <c r="T39" s="137"/>
    </row>
    <row r="40" spans="2:20" ht="15.6" x14ac:dyDescent="0.3">
      <c r="B40" s="346"/>
      <c r="C40" s="83" t="s">
        <v>328</v>
      </c>
      <c r="D40" s="160"/>
      <c r="E40" s="168">
        <v>0.05</v>
      </c>
      <c r="F40" s="136"/>
      <c r="G40" s="136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</row>
    <row r="41" spans="2:20" ht="15.6" x14ac:dyDescent="0.3">
      <c r="B41" s="170"/>
      <c r="C41" s="174" t="s">
        <v>342</v>
      </c>
      <c r="D41" s="171"/>
      <c r="E41" s="176">
        <v>0.2</v>
      </c>
      <c r="F41" s="136"/>
      <c r="G41" s="136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</row>
    <row r="42" spans="2:20" ht="15.6" x14ac:dyDescent="0.3">
      <c r="B42" s="343" t="s">
        <v>288</v>
      </c>
      <c r="C42" s="133" t="s">
        <v>289</v>
      </c>
      <c r="D42" s="159" t="s">
        <v>20</v>
      </c>
      <c r="E42" s="168">
        <v>0.3</v>
      </c>
      <c r="F42" s="136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</row>
    <row r="43" spans="2:20" ht="15.6" x14ac:dyDescent="0.3">
      <c r="B43" s="402"/>
      <c r="C43" s="83" t="s">
        <v>290</v>
      </c>
      <c r="D43" s="159" t="s">
        <v>20</v>
      </c>
      <c r="E43" s="168">
        <v>0.2</v>
      </c>
      <c r="F43" s="136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</row>
    <row r="44" spans="2:20" ht="31.2" x14ac:dyDescent="0.3">
      <c r="B44" s="402"/>
      <c r="C44" s="83" t="s">
        <v>307</v>
      </c>
      <c r="D44" s="159" t="s">
        <v>20</v>
      </c>
      <c r="E44" s="168">
        <v>0.2</v>
      </c>
      <c r="F44" s="136"/>
      <c r="G44" s="137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</row>
    <row r="45" spans="2:20" ht="15.6" x14ac:dyDescent="0.3">
      <c r="B45" s="369"/>
      <c r="C45" s="83" t="s">
        <v>343</v>
      </c>
      <c r="D45" s="159" t="s">
        <v>20</v>
      </c>
      <c r="E45" s="168">
        <v>0.3</v>
      </c>
      <c r="F45" s="136"/>
      <c r="G45" s="137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</row>
    <row r="46" spans="2:20" ht="15.6" x14ac:dyDescent="0.3">
      <c r="B46" s="154"/>
      <c r="C46" s="174" t="s">
        <v>282</v>
      </c>
      <c r="D46" s="171"/>
      <c r="E46" s="176">
        <v>0.3</v>
      </c>
      <c r="F46" s="136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</row>
    <row r="47" spans="2:20" ht="15.6" x14ac:dyDescent="0.3">
      <c r="B47" s="151" t="s">
        <v>341</v>
      </c>
      <c r="C47" s="52" t="s">
        <v>56</v>
      </c>
      <c r="D47" s="159"/>
      <c r="E47" s="168"/>
      <c r="F47" s="136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</row>
    <row r="48" spans="2:20" ht="15.6" x14ac:dyDescent="0.3">
      <c r="B48" s="151" t="s">
        <v>330</v>
      </c>
      <c r="C48" s="52" t="s">
        <v>331</v>
      </c>
      <c r="D48" s="159"/>
      <c r="E48" s="177"/>
      <c r="F48" s="136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</row>
    <row r="49" spans="2:19" ht="15.6" x14ac:dyDescent="0.3">
      <c r="B49" s="151" t="s">
        <v>49</v>
      </c>
      <c r="C49" s="83" t="s">
        <v>304</v>
      </c>
      <c r="D49" s="159" t="s">
        <v>20</v>
      </c>
      <c r="E49" s="168">
        <v>0.2</v>
      </c>
      <c r="F49" s="136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</row>
    <row r="50" spans="2:19" ht="31.2" x14ac:dyDescent="0.3">
      <c r="C50" s="148" t="s">
        <v>315</v>
      </c>
      <c r="D50" s="140"/>
      <c r="E50" s="181"/>
      <c r="F50" s="136"/>
      <c r="G50" s="137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</row>
    <row r="51" spans="2:19" ht="31.2" x14ac:dyDescent="0.3">
      <c r="B51" s="406" t="s">
        <v>51</v>
      </c>
      <c r="C51" s="73" t="s">
        <v>291</v>
      </c>
      <c r="D51" s="159" t="s">
        <v>20</v>
      </c>
      <c r="E51" s="168">
        <v>0.2</v>
      </c>
      <c r="F51" s="136"/>
      <c r="G51" s="137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</row>
    <row r="52" spans="2:19" ht="15.6" x14ac:dyDescent="0.3">
      <c r="B52" s="407"/>
      <c r="C52" s="75" t="s">
        <v>292</v>
      </c>
      <c r="D52" s="160" t="s">
        <v>20</v>
      </c>
      <c r="E52" s="168">
        <v>0.1</v>
      </c>
      <c r="F52" s="136"/>
      <c r="G52" s="137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</row>
    <row r="53" spans="2:19" ht="15.6" x14ac:dyDescent="0.3">
      <c r="B53" s="407"/>
      <c r="C53" s="75" t="s">
        <v>293</v>
      </c>
      <c r="D53" s="160" t="s">
        <v>20</v>
      </c>
      <c r="E53" s="168">
        <v>0.1</v>
      </c>
      <c r="F53" s="136"/>
      <c r="G53" s="137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</row>
    <row r="54" spans="2:19" ht="46.8" x14ac:dyDescent="0.3">
      <c r="B54" s="407"/>
      <c r="C54" s="73" t="s">
        <v>294</v>
      </c>
      <c r="D54" s="159" t="s">
        <v>20</v>
      </c>
      <c r="E54" s="168">
        <v>7.4999999999999997E-2</v>
      </c>
      <c r="F54" s="136"/>
      <c r="G54" s="137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</row>
    <row r="55" spans="2:19" ht="31.2" x14ac:dyDescent="0.3">
      <c r="B55" s="407"/>
      <c r="C55" s="75" t="s">
        <v>57</v>
      </c>
      <c r="D55" s="160" t="s">
        <v>20</v>
      </c>
      <c r="E55" s="168">
        <v>7.4999999999999997E-2</v>
      </c>
      <c r="F55" s="136"/>
      <c r="G55" s="137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</row>
    <row r="56" spans="2:19" ht="15.6" x14ac:dyDescent="0.3">
      <c r="B56" s="407"/>
      <c r="C56" s="149" t="s">
        <v>295</v>
      </c>
      <c r="D56" s="160" t="s">
        <v>20</v>
      </c>
      <c r="E56" s="168">
        <v>0.15</v>
      </c>
      <c r="F56" s="136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</row>
    <row r="57" spans="2:19" ht="46.8" x14ac:dyDescent="0.3">
      <c r="B57" s="407"/>
      <c r="C57" s="75" t="s">
        <v>296</v>
      </c>
      <c r="D57" s="404" t="s">
        <v>29</v>
      </c>
      <c r="E57" s="400">
        <v>0.1</v>
      </c>
      <c r="F57" s="136"/>
      <c r="G57" s="137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</row>
    <row r="58" spans="2:19" ht="31.2" x14ac:dyDescent="0.3">
      <c r="B58" s="408"/>
      <c r="C58" s="75" t="s">
        <v>297</v>
      </c>
      <c r="D58" s="405"/>
      <c r="E58" s="350"/>
      <c r="F58" s="136"/>
      <c r="G58" s="137"/>
      <c r="H58" s="137"/>
      <c r="I58" s="137"/>
      <c r="J58" s="137"/>
      <c r="K58" s="137"/>
      <c r="L58" s="137"/>
      <c r="M58" s="137"/>
      <c r="N58" s="137"/>
      <c r="O58" s="137"/>
      <c r="P58" s="137"/>
      <c r="Q58" s="137"/>
      <c r="R58" s="137"/>
      <c r="S58" s="137"/>
    </row>
    <row r="59" spans="2:19" ht="15.6" x14ac:dyDescent="0.3">
      <c r="B59" s="150"/>
      <c r="C59" s="150"/>
      <c r="D59" s="150"/>
      <c r="E59" s="177"/>
      <c r="F59" s="136"/>
      <c r="G59" s="137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</row>
    <row r="60" spans="2:19" ht="31.2" x14ac:dyDescent="0.3">
      <c r="C60" s="148" t="s">
        <v>316</v>
      </c>
      <c r="D60" s="140"/>
      <c r="E60" s="181"/>
      <c r="F60" s="136"/>
      <c r="G60" s="137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</row>
    <row r="61" spans="2:19" ht="31.2" x14ac:dyDescent="0.3">
      <c r="B61" s="403" t="s">
        <v>51</v>
      </c>
      <c r="C61" s="73" t="s">
        <v>291</v>
      </c>
      <c r="D61" s="159" t="s">
        <v>20</v>
      </c>
      <c r="E61" s="168">
        <v>0.3</v>
      </c>
      <c r="F61" s="136"/>
      <c r="G61" s="137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</row>
    <row r="62" spans="2:19" ht="15.6" x14ac:dyDescent="0.3">
      <c r="B62" s="403"/>
      <c r="C62" s="75" t="s">
        <v>293</v>
      </c>
      <c r="D62" s="160" t="s">
        <v>20</v>
      </c>
      <c r="E62" s="168">
        <v>0.1</v>
      </c>
      <c r="F62" s="136"/>
      <c r="G62" s="137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</row>
    <row r="63" spans="2:19" ht="46.8" x14ac:dyDescent="0.3">
      <c r="B63" s="403"/>
      <c r="C63" s="73" t="s">
        <v>294</v>
      </c>
      <c r="D63" s="159" t="s">
        <v>20</v>
      </c>
      <c r="E63" s="168">
        <v>0.1</v>
      </c>
      <c r="F63" s="136"/>
      <c r="G63" s="137"/>
      <c r="H63" s="137"/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</row>
    <row r="64" spans="2:19" ht="31.2" x14ac:dyDescent="0.3">
      <c r="B64" s="403"/>
      <c r="C64" s="75" t="s">
        <v>57</v>
      </c>
      <c r="D64" s="160" t="s">
        <v>20</v>
      </c>
      <c r="E64" s="168">
        <v>0.1</v>
      </c>
      <c r="F64" s="136"/>
      <c r="G64" s="137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</row>
    <row r="65" spans="2:19" ht="15.6" x14ac:dyDescent="0.3">
      <c r="B65" s="403"/>
      <c r="C65" s="149" t="s">
        <v>295</v>
      </c>
      <c r="D65" s="160" t="s">
        <v>20</v>
      </c>
      <c r="E65" s="168">
        <v>0.1</v>
      </c>
      <c r="F65" s="136"/>
      <c r="G65" s="137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</row>
    <row r="66" spans="2:19" ht="46.8" x14ac:dyDescent="0.3">
      <c r="B66" s="403"/>
      <c r="C66" s="75" t="s">
        <v>296</v>
      </c>
      <c r="D66" s="404" t="s">
        <v>29</v>
      </c>
      <c r="E66" s="400">
        <v>0.1</v>
      </c>
      <c r="F66" s="136"/>
      <c r="G66" s="137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</row>
    <row r="67" spans="2:19" ht="31.2" x14ac:dyDescent="0.3">
      <c r="B67" s="403"/>
      <c r="C67" s="75" t="s">
        <v>297</v>
      </c>
      <c r="D67" s="405"/>
      <c r="E67" s="350"/>
      <c r="F67" s="136"/>
      <c r="G67" s="137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</row>
    <row r="68" spans="2:19" ht="33.75" customHeight="1" x14ac:dyDescent="0.3">
      <c r="B68" s="139"/>
      <c r="C68" s="77"/>
      <c r="D68" s="145"/>
    </row>
    <row r="69" spans="2:19" ht="33.75" customHeight="1" x14ac:dyDescent="0.3">
      <c r="C69" s="140" t="s">
        <v>317</v>
      </c>
      <c r="D69" s="140"/>
    </row>
    <row r="70" spans="2:19" ht="33.75" customHeight="1" x14ac:dyDescent="0.3">
      <c r="B70" s="146"/>
      <c r="C70" s="53" t="s">
        <v>59</v>
      </c>
      <c r="D70" s="122">
        <v>10</v>
      </c>
    </row>
    <row r="71" spans="2:19" ht="33.75" customHeight="1" x14ac:dyDescent="0.3">
      <c r="C71" s="52" t="s">
        <v>60</v>
      </c>
      <c r="D71" s="55"/>
    </row>
  </sheetData>
  <mergeCells count="22">
    <mergeCell ref="B1:B10"/>
    <mergeCell ref="C1:D1"/>
    <mergeCell ref="B11:B16"/>
    <mergeCell ref="B17:B19"/>
    <mergeCell ref="A26:A32"/>
    <mergeCell ref="D26:D31"/>
    <mergeCell ref="E66:E67"/>
    <mergeCell ref="E57:E58"/>
    <mergeCell ref="G38:H38"/>
    <mergeCell ref="J38:L38"/>
    <mergeCell ref="B21:B23"/>
    <mergeCell ref="E26:E31"/>
    <mergeCell ref="B42:B45"/>
    <mergeCell ref="B33:B37"/>
    <mergeCell ref="H26:I26"/>
    <mergeCell ref="B27:B29"/>
    <mergeCell ref="B30:B31"/>
    <mergeCell ref="B61:B67"/>
    <mergeCell ref="D66:D67"/>
    <mergeCell ref="B51:B58"/>
    <mergeCell ref="D57:D58"/>
    <mergeCell ref="B38:B40"/>
  </mergeCells>
  <dataValidations disablePrompts="1" count="1">
    <dataValidation type="list" allowBlank="1" showInputMessage="1" showErrorMessage="1" sqref="D70" xr:uid="{E36D50E3-9071-40CA-B52C-54993D7F2704}">
      <formula1>"0, 1, 2, 3, 4, 5, 6, 7, 8, 9, 10"</formula1>
    </dataValidation>
  </dataValidation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022DE-5B79-470A-8018-A3AABC2174D8}">
  <dimension ref="A1:T60"/>
  <sheetViews>
    <sheetView topLeftCell="C1" zoomScale="84" zoomScaleNormal="84" workbookViewId="0">
      <selection activeCell="E45" sqref="E45"/>
    </sheetView>
  </sheetViews>
  <sheetFormatPr defaultColWidth="9" defaultRowHeight="33.75" customHeight="1" x14ac:dyDescent="0.3"/>
  <cols>
    <col min="1" max="1" width="9" style="138" hidden="1" customWidth="1"/>
    <col min="2" max="2" width="31.109375" style="68" customWidth="1"/>
    <col min="3" max="3" width="89.88671875" style="139" customWidth="1"/>
    <col min="4" max="4" width="79.44140625" style="144" customWidth="1"/>
    <col min="5" max="5" width="46.88671875" style="139" customWidth="1"/>
    <col min="6" max="6" width="23.44140625" style="139" customWidth="1"/>
    <col min="7" max="7" width="9" style="139"/>
    <col min="8" max="8" width="13.44140625" style="138" customWidth="1"/>
    <col min="9" max="9" width="10.88671875" style="138" customWidth="1"/>
    <col min="10" max="10" width="12.109375" style="138" customWidth="1"/>
    <col min="11" max="16384" width="9" style="138"/>
  </cols>
  <sheetData>
    <row r="1" spans="2:20" ht="33" customHeight="1" x14ac:dyDescent="0.3">
      <c r="B1" s="418" t="s">
        <v>287</v>
      </c>
      <c r="C1" s="392" t="s">
        <v>13</v>
      </c>
      <c r="D1" s="393"/>
      <c r="E1" s="417"/>
      <c r="F1" s="136"/>
      <c r="G1" s="136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</row>
    <row r="2" spans="2:20" ht="15.6" x14ac:dyDescent="0.3">
      <c r="B2" s="418"/>
      <c r="C2" s="53" t="s">
        <v>284</v>
      </c>
      <c r="D2" s="75" t="s">
        <v>314</v>
      </c>
      <c r="E2" s="379"/>
      <c r="F2" s="136"/>
      <c r="G2" s="136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</row>
    <row r="3" spans="2:20" ht="15.6" x14ac:dyDescent="0.3">
      <c r="B3" s="418"/>
      <c r="C3" s="53" t="s">
        <v>275</v>
      </c>
      <c r="D3" s="75" t="s">
        <v>306</v>
      </c>
      <c r="E3" s="379"/>
      <c r="F3" s="136"/>
      <c r="G3" s="136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</row>
    <row r="4" spans="2:20" ht="15.6" x14ac:dyDescent="0.3">
      <c r="B4" s="418"/>
      <c r="C4" s="52" t="s">
        <v>274</v>
      </c>
      <c r="D4" s="158" t="s">
        <v>285</v>
      </c>
      <c r="E4" s="379"/>
      <c r="F4" s="136"/>
      <c r="G4" s="136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</row>
    <row r="5" spans="2:20" ht="46.8" x14ac:dyDescent="0.3">
      <c r="B5" s="418"/>
      <c r="C5" s="52" t="s">
        <v>281</v>
      </c>
      <c r="D5" s="73" t="s">
        <v>318</v>
      </c>
      <c r="E5" s="379"/>
      <c r="F5" s="136"/>
      <c r="G5" s="136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</row>
    <row r="6" spans="2:20" ht="249.6" x14ac:dyDescent="0.3">
      <c r="B6" s="418"/>
      <c r="C6" s="52" t="s">
        <v>300</v>
      </c>
      <c r="D6" s="73" t="s">
        <v>340</v>
      </c>
      <c r="E6" s="379"/>
      <c r="F6" s="136"/>
      <c r="G6" s="136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</row>
    <row r="7" spans="2:20" ht="15.6" x14ac:dyDescent="0.3">
      <c r="B7" s="418"/>
      <c r="C7" s="52" t="s">
        <v>277</v>
      </c>
      <c r="D7" s="73" t="s">
        <v>276</v>
      </c>
      <c r="E7" s="379"/>
      <c r="F7" s="136"/>
      <c r="G7" s="136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</row>
    <row r="8" spans="2:20" ht="15.6" x14ac:dyDescent="0.3">
      <c r="B8" s="418"/>
      <c r="C8" s="52"/>
      <c r="D8" s="73"/>
      <c r="E8" s="379"/>
      <c r="F8" s="136"/>
      <c r="G8" s="136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</row>
    <row r="9" spans="2:20" ht="15.6" x14ac:dyDescent="0.3">
      <c r="B9" s="418"/>
      <c r="C9" s="136"/>
      <c r="D9" s="136"/>
      <c r="E9" s="379"/>
      <c r="F9" s="136"/>
      <c r="G9" s="136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</row>
    <row r="10" spans="2:20" ht="15.6" x14ac:dyDescent="0.3">
      <c r="B10" s="419"/>
      <c r="C10" s="140" t="s">
        <v>334</v>
      </c>
      <c r="D10" s="140"/>
      <c r="E10" s="167">
        <v>0.1</v>
      </c>
      <c r="F10" s="141"/>
      <c r="G10" s="136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</row>
    <row r="11" spans="2:20" ht="46.8" x14ac:dyDescent="0.3">
      <c r="B11" s="346" t="s">
        <v>283</v>
      </c>
      <c r="C11" s="52" t="s">
        <v>19</v>
      </c>
      <c r="D11" s="55"/>
      <c r="E11" s="177"/>
      <c r="F11" s="136"/>
      <c r="G11" s="137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</row>
    <row r="12" spans="2:20" ht="15.6" customHeight="1" x14ac:dyDescent="0.3">
      <c r="B12" s="346"/>
      <c r="C12" s="53" t="s">
        <v>271</v>
      </c>
      <c r="D12" s="55"/>
      <c r="E12" s="177"/>
      <c r="F12" s="136"/>
      <c r="G12" s="137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</row>
    <row r="13" spans="2:20" ht="15.6" customHeight="1" x14ac:dyDescent="0.3">
      <c r="B13" s="346"/>
      <c r="C13" s="52" t="s">
        <v>21</v>
      </c>
      <c r="D13" s="55" t="s">
        <v>20</v>
      </c>
      <c r="E13" s="168">
        <v>0.25</v>
      </c>
      <c r="F13" s="136"/>
      <c r="G13" s="137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</row>
    <row r="14" spans="2:20" ht="15.6" customHeight="1" x14ac:dyDescent="0.3">
      <c r="B14" s="346"/>
      <c r="C14" s="52" t="s">
        <v>22</v>
      </c>
      <c r="D14" s="55" t="s">
        <v>20</v>
      </c>
      <c r="E14" s="168">
        <v>0.1</v>
      </c>
      <c r="F14" s="136"/>
      <c r="G14" s="137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</row>
    <row r="15" spans="2:20" ht="15.6" customHeight="1" x14ac:dyDescent="0.3">
      <c r="B15" s="346"/>
      <c r="C15" s="52" t="s">
        <v>272</v>
      </c>
      <c r="D15" s="55" t="s">
        <v>20</v>
      </c>
      <c r="E15" s="168">
        <v>0.1</v>
      </c>
      <c r="F15" s="136"/>
      <c r="G15" s="137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</row>
    <row r="16" spans="2:20" ht="15.6" customHeight="1" x14ac:dyDescent="0.3">
      <c r="B16" s="346"/>
      <c r="C16" s="52" t="s">
        <v>23</v>
      </c>
      <c r="D16" s="55" t="s">
        <v>20</v>
      </c>
      <c r="E16" s="168">
        <v>0.1</v>
      </c>
      <c r="F16" s="136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</row>
    <row r="17" spans="1:20" ht="15.6" x14ac:dyDescent="0.3">
      <c r="B17" s="338" t="s">
        <v>61</v>
      </c>
      <c r="C17" s="140" t="s">
        <v>335</v>
      </c>
      <c r="D17" s="140"/>
      <c r="E17" s="169"/>
      <c r="F17" s="141"/>
      <c r="G17" s="136"/>
      <c r="H17" s="137"/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</row>
    <row r="18" spans="1:20" ht="15.6" x14ac:dyDescent="0.3">
      <c r="B18" s="410"/>
      <c r="C18" s="134" t="s">
        <v>319</v>
      </c>
      <c r="D18" s="159" t="s">
        <v>20</v>
      </c>
      <c r="E18" s="168">
        <v>0.25</v>
      </c>
      <c r="F18" s="141"/>
      <c r="G18" s="136"/>
      <c r="H18" s="137"/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</row>
    <row r="19" spans="1:20" ht="15.6" x14ac:dyDescent="0.3">
      <c r="B19" s="411"/>
      <c r="C19" s="134" t="s">
        <v>62</v>
      </c>
      <c r="D19" s="159" t="s">
        <v>20</v>
      </c>
      <c r="E19" s="168">
        <v>0.2</v>
      </c>
      <c r="F19" s="141"/>
      <c r="G19" s="136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</row>
    <row r="20" spans="1:20" ht="33" customHeight="1" x14ac:dyDescent="0.3">
      <c r="B20" s="142"/>
      <c r="C20" s="140" t="s">
        <v>336</v>
      </c>
      <c r="D20" s="140"/>
      <c r="E20" s="176">
        <v>0.3</v>
      </c>
      <c r="F20" s="141"/>
      <c r="G20" s="136"/>
      <c r="H20" s="137"/>
      <c r="I20" s="137"/>
      <c r="J20" s="137"/>
      <c r="K20" s="137"/>
      <c r="L20" s="137"/>
      <c r="M20" s="137"/>
      <c r="N20" s="137"/>
      <c r="O20" s="137"/>
      <c r="P20" s="137"/>
      <c r="Q20" s="137"/>
      <c r="R20" s="137"/>
      <c r="S20" s="137"/>
      <c r="T20" s="137"/>
    </row>
    <row r="21" spans="1:20" ht="15.6" x14ac:dyDescent="0.3">
      <c r="A21" s="138" t="s">
        <v>310</v>
      </c>
      <c r="B21" s="415" t="s">
        <v>280</v>
      </c>
      <c r="C21" s="83" t="s">
        <v>27</v>
      </c>
      <c r="D21" s="160" t="s">
        <v>20</v>
      </c>
      <c r="E21" s="168">
        <v>0.05</v>
      </c>
      <c r="F21" s="136"/>
      <c r="G21" s="136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7"/>
      <c r="S21" s="137"/>
      <c r="T21" s="137"/>
    </row>
    <row r="22" spans="1:20" ht="15.6" x14ac:dyDescent="0.3">
      <c r="B22" s="416"/>
      <c r="C22" s="83" t="s">
        <v>320</v>
      </c>
      <c r="D22" s="160" t="s">
        <v>20</v>
      </c>
      <c r="E22" s="168">
        <v>0.1</v>
      </c>
      <c r="F22" s="136"/>
      <c r="G22" s="136"/>
      <c r="H22" s="137"/>
      <c r="I22" s="137"/>
      <c r="J22" s="137"/>
      <c r="K22" s="137"/>
      <c r="L22" s="137"/>
      <c r="M22" s="137"/>
      <c r="N22" s="137"/>
      <c r="O22" s="137"/>
      <c r="P22" s="137"/>
      <c r="Q22" s="137"/>
      <c r="R22" s="137"/>
      <c r="S22" s="137"/>
      <c r="T22" s="137"/>
    </row>
    <row r="23" spans="1:20" ht="15.6" customHeight="1" x14ac:dyDescent="0.3">
      <c r="B23" s="165" t="s">
        <v>30</v>
      </c>
      <c r="C23" s="83" t="s">
        <v>324</v>
      </c>
      <c r="D23" s="160" t="s">
        <v>20</v>
      </c>
      <c r="E23" s="168">
        <v>0.1</v>
      </c>
      <c r="F23" s="136"/>
      <c r="G23" s="136"/>
      <c r="H23" s="137"/>
      <c r="I23" s="137"/>
      <c r="J23" s="137"/>
      <c r="K23" s="137"/>
      <c r="L23" s="137"/>
      <c r="M23" s="137"/>
      <c r="N23" s="137"/>
      <c r="O23" s="137"/>
      <c r="P23" s="137"/>
      <c r="Q23" s="137"/>
      <c r="R23" s="137"/>
      <c r="S23" s="137"/>
      <c r="T23" s="137"/>
    </row>
    <row r="24" spans="1:20" ht="31.2" x14ac:dyDescent="0.3">
      <c r="A24" s="412"/>
      <c r="B24" s="151" t="s">
        <v>32</v>
      </c>
      <c r="C24" s="161" t="s">
        <v>312</v>
      </c>
      <c r="D24" s="377" t="s">
        <v>29</v>
      </c>
      <c r="E24" s="414">
        <v>0.05</v>
      </c>
      <c r="F24" s="136"/>
      <c r="G24" s="136"/>
      <c r="H24" s="380" t="s">
        <v>34</v>
      </c>
      <c r="I24" s="380"/>
      <c r="J24" s="137"/>
      <c r="K24" s="137"/>
      <c r="L24" s="137"/>
      <c r="M24" s="137"/>
      <c r="N24" s="137"/>
      <c r="O24" s="137"/>
      <c r="P24" s="137"/>
      <c r="Q24" s="137"/>
      <c r="R24" s="137"/>
      <c r="S24" s="137"/>
      <c r="T24" s="137"/>
    </row>
    <row r="25" spans="1:20" ht="14.4" customHeight="1" x14ac:dyDescent="0.3">
      <c r="A25" s="412"/>
      <c r="B25" s="346" t="s">
        <v>35</v>
      </c>
      <c r="C25" s="161" t="s">
        <v>36</v>
      </c>
      <c r="D25" s="377"/>
      <c r="E25" s="368"/>
      <c r="F25" s="136"/>
      <c r="G25" s="136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</row>
    <row r="26" spans="1:20" ht="14.4" customHeight="1" x14ac:dyDescent="0.3">
      <c r="A26" s="412"/>
      <c r="B26" s="346"/>
      <c r="C26" s="162" t="s">
        <v>37</v>
      </c>
      <c r="D26" s="377"/>
      <c r="E26" s="368"/>
      <c r="F26" s="136"/>
      <c r="G26" s="136"/>
      <c r="H26" s="137"/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137"/>
      <c r="T26" s="137"/>
    </row>
    <row r="27" spans="1:20" ht="14.4" customHeight="1" x14ac:dyDescent="0.3">
      <c r="A27" s="412"/>
      <c r="B27" s="346"/>
      <c r="C27" s="163" t="s">
        <v>38</v>
      </c>
      <c r="D27" s="377"/>
      <c r="E27" s="368"/>
      <c r="F27" s="136"/>
      <c r="G27" s="136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</row>
    <row r="28" spans="1:20" ht="14.4" customHeight="1" x14ac:dyDescent="0.3">
      <c r="A28" s="412"/>
      <c r="B28" s="345" t="s">
        <v>39</v>
      </c>
      <c r="C28" s="83" t="s">
        <v>40</v>
      </c>
      <c r="D28" s="377"/>
      <c r="E28" s="368"/>
      <c r="F28" s="136"/>
      <c r="G28" s="136"/>
      <c r="H28" s="137"/>
      <c r="I28" s="137"/>
      <c r="J28" s="137"/>
      <c r="K28" s="137"/>
      <c r="L28" s="137"/>
      <c r="M28" s="137"/>
      <c r="N28" s="137"/>
      <c r="O28" s="137"/>
      <c r="P28" s="137"/>
      <c r="Q28" s="137"/>
      <c r="R28" s="137"/>
      <c r="S28" s="137"/>
      <c r="T28" s="137"/>
    </row>
    <row r="29" spans="1:20" ht="14.4" customHeight="1" x14ac:dyDescent="0.3">
      <c r="A29" s="412"/>
      <c r="B29" s="344"/>
      <c r="C29" s="164" t="s">
        <v>41</v>
      </c>
      <c r="D29" s="377"/>
      <c r="E29" s="369"/>
      <c r="F29" s="136"/>
      <c r="G29" s="136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</row>
    <row r="30" spans="1:20" ht="46.8" x14ac:dyDescent="0.3">
      <c r="A30" s="412"/>
      <c r="B30" s="142" t="s">
        <v>42</v>
      </c>
      <c r="C30" s="133" t="s">
        <v>278</v>
      </c>
      <c r="D30" s="155" t="s">
        <v>20</v>
      </c>
      <c r="E30" s="168">
        <v>0.1</v>
      </c>
      <c r="F30" s="136"/>
      <c r="G30" s="136"/>
      <c r="H30" s="137"/>
      <c r="I30" s="137"/>
      <c r="J30" s="137"/>
      <c r="K30" s="137"/>
      <c r="L30" s="137"/>
      <c r="M30" s="137"/>
      <c r="N30" s="137"/>
      <c r="O30" s="137"/>
      <c r="P30" s="137"/>
      <c r="Q30" s="137"/>
      <c r="R30" s="137"/>
      <c r="S30" s="137"/>
      <c r="T30" s="137"/>
    </row>
    <row r="31" spans="1:20" ht="15.6" customHeight="1" x14ac:dyDescent="0.3">
      <c r="B31" s="343" t="s">
        <v>43</v>
      </c>
      <c r="C31" s="133" t="s">
        <v>44</v>
      </c>
      <c r="D31" s="160" t="s">
        <v>20</v>
      </c>
      <c r="E31" s="168">
        <v>0.05</v>
      </c>
      <c r="G31" s="136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</row>
    <row r="32" spans="1:20" ht="21" customHeight="1" x14ac:dyDescent="0.3">
      <c r="B32" s="345"/>
      <c r="C32" s="133" t="s">
        <v>321</v>
      </c>
      <c r="D32" s="160" t="s">
        <v>20</v>
      </c>
      <c r="E32" s="168">
        <v>0.06</v>
      </c>
      <c r="F32" s="136"/>
      <c r="G32" s="136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</row>
    <row r="33" spans="2:20" ht="21" customHeight="1" x14ac:dyDescent="0.3">
      <c r="B33" s="345"/>
      <c r="C33" s="133" t="s">
        <v>45</v>
      </c>
      <c r="D33" s="160" t="s">
        <v>20</v>
      </c>
      <c r="E33" s="168">
        <v>0.12</v>
      </c>
      <c r="F33" s="136"/>
      <c r="G33" s="136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</row>
    <row r="34" spans="2:20" ht="16.350000000000001" customHeight="1" x14ac:dyDescent="0.3">
      <c r="B34" s="345"/>
      <c r="C34" s="133" t="s">
        <v>311</v>
      </c>
      <c r="D34" s="160" t="s">
        <v>20</v>
      </c>
      <c r="E34" s="168">
        <v>0.12</v>
      </c>
      <c r="F34" s="136"/>
      <c r="G34" s="136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</row>
    <row r="35" spans="2:20" ht="15.6" x14ac:dyDescent="0.3">
      <c r="B35" s="344"/>
      <c r="C35" s="133" t="s">
        <v>47</v>
      </c>
      <c r="D35" s="160" t="s">
        <v>20</v>
      </c>
      <c r="E35" s="168">
        <v>0.05</v>
      </c>
      <c r="F35" s="136"/>
      <c r="G35" s="136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</row>
    <row r="36" spans="2:20" ht="31.2" x14ac:dyDescent="0.3">
      <c r="B36" s="346" t="s">
        <v>48</v>
      </c>
      <c r="C36" s="83" t="s">
        <v>273</v>
      </c>
      <c r="D36" s="160" t="s">
        <v>20</v>
      </c>
      <c r="E36" s="168">
        <v>0.1</v>
      </c>
      <c r="F36" s="136"/>
      <c r="G36" s="380"/>
      <c r="H36" s="380"/>
      <c r="I36" s="137"/>
      <c r="J36" s="380"/>
      <c r="K36" s="380"/>
      <c r="L36" s="380"/>
      <c r="M36" s="137"/>
      <c r="N36" s="137"/>
      <c r="O36" s="143"/>
      <c r="P36" s="137"/>
      <c r="Q36" s="137"/>
      <c r="R36" s="137"/>
      <c r="S36" s="137"/>
      <c r="T36" s="137"/>
    </row>
    <row r="37" spans="2:20" ht="31.2" x14ac:dyDescent="0.3">
      <c r="B37" s="346"/>
      <c r="C37" s="83" t="s">
        <v>322</v>
      </c>
      <c r="D37" s="160" t="s">
        <v>20</v>
      </c>
      <c r="E37" s="168">
        <v>0.05</v>
      </c>
      <c r="F37" s="136"/>
      <c r="G37" s="153"/>
      <c r="H37" s="153"/>
      <c r="I37" s="137"/>
      <c r="J37" s="153"/>
      <c r="K37" s="153"/>
      <c r="L37" s="153"/>
      <c r="M37" s="137"/>
      <c r="N37" s="137"/>
      <c r="O37" s="143"/>
      <c r="P37" s="137"/>
      <c r="Q37" s="137"/>
      <c r="R37" s="137"/>
      <c r="S37" s="137"/>
      <c r="T37" s="137"/>
    </row>
    <row r="38" spans="2:20" ht="15.6" x14ac:dyDescent="0.3">
      <c r="B38" s="346"/>
      <c r="C38" s="83" t="s">
        <v>332</v>
      </c>
      <c r="D38" s="160"/>
      <c r="E38" s="168">
        <v>0.05</v>
      </c>
      <c r="F38" s="136"/>
      <c r="G38" s="136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</row>
    <row r="39" spans="2:20" ht="15.6" x14ac:dyDescent="0.3">
      <c r="B39" s="170"/>
      <c r="C39" s="174" t="s">
        <v>337</v>
      </c>
      <c r="D39" s="182"/>
      <c r="E39" s="176">
        <v>0.35</v>
      </c>
      <c r="F39" s="136"/>
      <c r="G39" s="136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</row>
    <row r="40" spans="2:20" ht="31.2" x14ac:dyDescent="0.3">
      <c r="B40" s="343" t="s">
        <v>333</v>
      </c>
      <c r="C40" s="133" t="s">
        <v>305</v>
      </c>
      <c r="D40" s="159" t="s">
        <v>20</v>
      </c>
      <c r="E40" s="169">
        <v>0.4</v>
      </c>
      <c r="F40" s="141"/>
      <c r="G40" s="136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</row>
    <row r="41" spans="2:20" ht="15.6" x14ac:dyDescent="0.3">
      <c r="B41" s="345"/>
      <c r="C41" s="152" t="s">
        <v>326</v>
      </c>
      <c r="D41" s="159" t="s">
        <v>20</v>
      </c>
      <c r="E41" s="169">
        <v>0.3</v>
      </c>
      <c r="F41" s="141"/>
      <c r="G41" s="136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</row>
    <row r="42" spans="2:20" ht="15.6" x14ac:dyDescent="0.3">
      <c r="B42" s="369"/>
      <c r="C42" s="152" t="s">
        <v>329</v>
      </c>
      <c r="D42" s="159" t="s">
        <v>20</v>
      </c>
      <c r="E42" s="169">
        <v>0.3</v>
      </c>
      <c r="F42" s="141"/>
      <c r="G42" s="136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</row>
    <row r="43" spans="2:20" ht="15.6" x14ac:dyDescent="0.3">
      <c r="B43" s="170"/>
      <c r="C43" s="174" t="s">
        <v>342</v>
      </c>
      <c r="D43" s="171"/>
      <c r="E43" s="183">
        <v>0.1</v>
      </c>
      <c r="F43" s="136"/>
      <c r="G43" s="136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</row>
    <row r="44" spans="2:20" ht="15.6" x14ac:dyDescent="0.3">
      <c r="B44" s="343" t="s">
        <v>288</v>
      </c>
      <c r="C44" s="133" t="s">
        <v>289</v>
      </c>
      <c r="D44" s="159" t="s">
        <v>20</v>
      </c>
      <c r="E44" s="168">
        <v>0.3</v>
      </c>
      <c r="F44" s="136"/>
      <c r="G44" s="137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</row>
    <row r="45" spans="2:20" ht="15.6" x14ac:dyDescent="0.3">
      <c r="B45" s="402"/>
      <c r="C45" s="83" t="s">
        <v>290</v>
      </c>
      <c r="D45" s="159" t="s">
        <v>20</v>
      </c>
      <c r="E45" s="168">
        <v>0.2</v>
      </c>
      <c r="F45" s="136"/>
      <c r="G45" s="137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</row>
    <row r="46" spans="2:20" ht="31.2" x14ac:dyDescent="0.3">
      <c r="B46" s="402"/>
      <c r="C46" s="83" t="s">
        <v>307</v>
      </c>
      <c r="D46" s="159" t="s">
        <v>20</v>
      </c>
      <c r="E46" s="168">
        <v>0.2</v>
      </c>
      <c r="F46" s="136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</row>
    <row r="47" spans="2:20" ht="15.6" x14ac:dyDescent="0.3">
      <c r="B47" s="369"/>
      <c r="C47" s="83" t="s">
        <v>343</v>
      </c>
      <c r="D47" s="159" t="s">
        <v>20</v>
      </c>
      <c r="E47" s="168">
        <v>0.3</v>
      </c>
      <c r="F47" s="136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</row>
    <row r="48" spans="2:20" ht="15.6" x14ac:dyDescent="0.3">
      <c r="B48" s="157"/>
      <c r="C48" s="173" t="s">
        <v>338</v>
      </c>
      <c r="D48" s="171"/>
      <c r="E48" s="183">
        <v>0.05</v>
      </c>
      <c r="F48" s="141"/>
      <c r="G48" s="136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</row>
    <row r="49" spans="2:20" ht="15.6" x14ac:dyDescent="0.3">
      <c r="B49" s="343" t="s">
        <v>279</v>
      </c>
      <c r="C49" s="134" t="s">
        <v>302</v>
      </c>
      <c r="D49" s="159" t="s">
        <v>20</v>
      </c>
      <c r="E49" s="169">
        <v>0.4</v>
      </c>
      <c r="F49" s="141"/>
      <c r="G49" s="136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</row>
    <row r="50" spans="2:20" ht="15.6" x14ac:dyDescent="0.3">
      <c r="B50" s="345"/>
      <c r="C50" s="134" t="s">
        <v>325</v>
      </c>
      <c r="D50" s="159"/>
      <c r="E50" s="169">
        <v>0.3</v>
      </c>
      <c r="F50" s="141"/>
      <c r="G50" s="136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</row>
    <row r="51" spans="2:20" ht="14.1" customHeight="1" x14ac:dyDescent="0.3">
      <c r="B51" s="369"/>
      <c r="C51" s="152" t="s">
        <v>329</v>
      </c>
      <c r="D51" s="159" t="s">
        <v>20</v>
      </c>
      <c r="E51" s="169">
        <v>0.3</v>
      </c>
      <c r="F51" s="141"/>
      <c r="G51" s="136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</row>
    <row r="52" spans="2:20" ht="14.1" customHeight="1" x14ac:dyDescent="0.3">
      <c r="B52" s="172"/>
      <c r="C52" s="173" t="s">
        <v>282</v>
      </c>
      <c r="D52" s="171"/>
      <c r="E52" s="176">
        <v>0.1</v>
      </c>
      <c r="F52" s="141"/>
      <c r="G52" s="136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</row>
    <row r="53" spans="2:20" ht="15.6" customHeight="1" x14ac:dyDescent="0.3">
      <c r="B53" s="142" t="s">
        <v>63</v>
      </c>
      <c r="C53" s="52" t="s">
        <v>56</v>
      </c>
      <c r="D53" s="159" t="s">
        <v>20</v>
      </c>
      <c r="E53" s="166">
        <v>0.3</v>
      </c>
      <c r="F53" s="136"/>
      <c r="G53" s="136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</row>
    <row r="54" spans="2:20" ht="15.6" customHeight="1" x14ac:dyDescent="0.3">
      <c r="B54" s="156" t="s">
        <v>330</v>
      </c>
      <c r="C54" s="52" t="s">
        <v>331</v>
      </c>
      <c r="D54" s="159"/>
      <c r="E54" s="175"/>
      <c r="F54" s="136"/>
      <c r="G54" s="136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137"/>
    </row>
    <row r="55" spans="2:20" ht="15.6" customHeight="1" x14ac:dyDescent="0.3">
      <c r="B55" s="156" t="s">
        <v>303</v>
      </c>
      <c r="C55" s="53" t="s">
        <v>304</v>
      </c>
      <c r="D55" s="160" t="s">
        <v>20</v>
      </c>
      <c r="E55" s="166">
        <v>0.4</v>
      </c>
      <c r="F55" s="136"/>
      <c r="G55" s="136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</row>
    <row r="56" spans="2:20" ht="31.2" x14ac:dyDescent="0.3">
      <c r="B56" s="142" t="s">
        <v>282</v>
      </c>
      <c r="C56" s="52" t="s">
        <v>53</v>
      </c>
      <c r="D56" s="159" t="s">
        <v>20</v>
      </c>
      <c r="E56" s="166">
        <v>0.3</v>
      </c>
      <c r="F56" s="136"/>
      <c r="G56" s="136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</row>
    <row r="57" spans="2:20" ht="33.75" customHeight="1" x14ac:dyDescent="0.3">
      <c r="B57" s="139"/>
      <c r="C57" s="77"/>
      <c r="D57" s="145"/>
    </row>
    <row r="58" spans="2:20" ht="33.75" customHeight="1" x14ac:dyDescent="0.3">
      <c r="C58" s="140" t="s">
        <v>317</v>
      </c>
      <c r="D58" s="140"/>
    </row>
    <row r="59" spans="2:20" ht="33.75" customHeight="1" x14ac:dyDescent="0.3">
      <c r="B59" s="146"/>
      <c r="C59" s="53" t="s">
        <v>59</v>
      </c>
      <c r="D59" s="122">
        <v>10</v>
      </c>
    </row>
    <row r="60" spans="2:20" ht="33.75" customHeight="1" x14ac:dyDescent="0.3">
      <c r="C60" s="52" t="s">
        <v>60</v>
      </c>
      <c r="D60" s="55"/>
    </row>
  </sheetData>
  <mergeCells count="19">
    <mergeCell ref="C1:D1"/>
    <mergeCell ref="E1:E9"/>
    <mergeCell ref="B44:B47"/>
    <mergeCell ref="B49:B51"/>
    <mergeCell ref="B11:B16"/>
    <mergeCell ref="B17:B19"/>
    <mergeCell ref="B1:B10"/>
    <mergeCell ref="B31:B35"/>
    <mergeCell ref="B36:B38"/>
    <mergeCell ref="G36:H36"/>
    <mergeCell ref="J36:L36"/>
    <mergeCell ref="B40:B42"/>
    <mergeCell ref="E24:E29"/>
    <mergeCell ref="B21:B22"/>
    <mergeCell ref="A24:A30"/>
    <mergeCell ref="D24:D29"/>
    <mergeCell ref="H24:I24"/>
    <mergeCell ref="B25:B27"/>
    <mergeCell ref="B28:B29"/>
  </mergeCells>
  <dataValidations disablePrompts="1" count="1">
    <dataValidation type="list" allowBlank="1" showInputMessage="1" showErrorMessage="1" sqref="D59" xr:uid="{69349790-B786-4B44-8F07-C9985F86FABD}">
      <formula1>"0, 1, 2, 3, 4, 5, 6, 7, 8, 9, 10"</formula1>
    </dataValidation>
  </dataValidation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48"/>
  <sheetViews>
    <sheetView showGridLines="0" zoomScale="97" zoomScaleNormal="97" workbookViewId="0">
      <selection activeCell="B14" sqref="B14"/>
    </sheetView>
  </sheetViews>
  <sheetFormatPr defaultColWidth="9" defaultRowHeight="33.75" customHeight="1" x14ac:dyDescent="0.25"/>
  <cols>
    <col min="1" max="1" width="31" style="6" customWidth="1"/>
    <col min="2" max="2" width="110" style="6" bestFit="1" customWidth="1"/>
    <col min="3" max="3" width="18.5546875" style="32" customWidth="1"/>
    <col min="4" max="4" width="27.5546875" style="32" bestFit="1" customWidth="1"/>
    <col min="5" max="5" width="36.44140625" style="6" bestFit="1" customWidth="1"/>
    <col min="6" max="9" width="41.5546875" style="6" customWidth="1"/>
    <col min="10" max="10" width="12.88671875" style="6" customWidth="1"/>
    <col min="11" max="11" width="9" style="6"/>
    <col min="12" max="12" width="11.5546875" style="6" customWidth="1"/>
    <col min="13" max="13" width="10.44140625" style="6" customWidth="1"/>
    <col min="14" max="14" width="9" style="6"/>
    <col min="15" max="15" width="13.44140625" style="6" customWidth="1"/>
    <col min="16" max="16" width="10.88671875" style="6" customWidth="1"/>
    <col min="17" max="17" width="12.109375" style="6" customWidth="1"/>
    <col min="18" max="16384" width="9" style="6"/>
  </cols>
  <sheetData>
    <row r="1" spans="1:27" ht="33.75" customHeight="1" x14ac:dyDescent="0.25">
      <c r="B1" s="422" t="s">
        <v>64</v>
      </c>
      <c r="C1" s="422"/>
      <c r="D1" s="35" t="s">
        <v>65</v>
      </c>
      <c r="E1" s="35" t="s">
        <v>66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3.75" customHeight="1" x14ac:dyDescent="0.25">
      <c r="B2" s="44" t="s">
        <v>67</v>
      </c>
      <c r="C2" s="3"/>
      <c r="D2" s="5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33.75" customHeight="1" x14ac:dyDescent="0.25">
      <c r="B3" s="44" t="s">
        <v>68</v>
      </c>
      <c r="C3" s="3"/>
      <c r="D3" s="5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33.75" customHeight="1" x14ac:dyDescent="0.25">
      <c r="B4" s="44" t="s">
        <v>69</v>
      </c>
      <c r="C4" s="3"/>
      <c r="D4" s="5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33.75" customHeight="1" x14ac:dyDescent="0.25">
      <c r="B5" s="44" t="s">
        <v>70</v>
      </c>
      <c r="C5" s="3"/>
      <c r="D5" s="5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33.75" customHeight="1" x14ac:dyDescent="0.25">
      <c r="B6" s="5"/>
      <c r="C6" s="31"/>
      <c r="D6" s="31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33.75" customHeight="1" x14ac:dyDescent="0.25">
      <c r="B7" s="423" t="s">
        <v>71</v>
      </c>
      <c r="C7" s="423"/>
      <c r="D7" s="33">
        <f>SUM(D8:D11)</f>
        <v>0.2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33.75" customHeight="1" x14ac:dyDescent="0.25">
      <c r="A8" s="8"/>
      <c r="B8" s="3" t="s">
        <v>72</v>
      </c>
      <c r="C8" s="29" t="s">
        <v>73</v>
      </c>
      <c r="D8" s="43">
        <v>0.05</v>
      </c>
      <c r="E8" s="40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33.75" customHeight="1" x14ac:dyDescent="0.25">
      <c r="A9" s="8"/>
      <c r="B9" s="3" t="s">
        <v>74</v>
      </c>
      <c r="C9" s="29" t="s">
        <v>73</v>
      </c>
      <c r="D9" s="43">
        <v>0.05</v>
      </c>
      <c r="E9" s="40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33.75" customHeight="1" x14ac:dyDescent="0.25">
      <c r="A10" s="8"/>
      <c r="B10" s="3" t="s">
        <v>75</v>
      </c>
      <c r="C10" s="29" t="s">
        <v>73</v>
      </c>
      <c r="D10" s="43">
        <v>0.05</v>
      </c>
      <c r="E10" s="40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33.75" customHeight="1" x14ac:dyDescent="0.25">
      <c r="A11" s="8"/>
      <c r="B11" s="3" t="s">
        <v>76</v>
      </c>
      <c r="C11" s="29" t="s">
        <v>73</v>
      </c>
      <c r="D11" s="43">
        <v>0.05</v>
      </c>
      <c r="E11" s="40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33.75" customHeight="1" x14ac:dyDescent="0.25">
      <c r="A12" s="7"/>
      <c r="B12" s="7"/>
      <c r="C12" s="31"/>
      <c r="D12" s="31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33.75" customHeight="1" x14ac:dyDescent="0.25">
      <c r="A13" s="7"/>
      <c r="B13" s="424" t="s">
        <v>77</v>
      </c>
      <c r="C13" s="425"/>
      <c r="D13" s="33">
        <f>SUM(D14:D26)</f>
        <v>0.6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33.75" customHeight="1" x14ac:dyDescent="0.25">
      <c r="A14" s="8"/>
      <c r="B14" s="3" t="s">
        <v>78</v>
      </c>
      <c r="C14" s="29" t="s">
        <v>73</v>
      </c>
      <c r="D14" s="36">
        <v>0.04</v>
      </c>
      <c r="E14" s="40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33.75" customHeight="1" x14ac:dyDescent="0.25">
      <c r="B15" s="11" t="s">
        <v>79</v>
      </c>
      <c r="C15" s="29" t="s">
        <v>73</v>
      </c>
      <c r="D15" s="36">
        <v>0.05</v>
      </c>
      <c r="E15" s="40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33.75" customHeight="1" x14ac:dyDescent="0.25">
      <c r="B16" s="12" t="s">
        <v>80</v>
      </c>
      <c r="C16" s="29" t="s">
        <v>73</v>
      </c>
      <c r="D16" s="36">
        <v>0.05</v>
      </c>
      <c r="E16" s="40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33.75" customHeight="1" x14ac:dyDescent="0.25">
      <c r="B17" s="3" t="s">
        <v>81</v>
      </c>
      <c r="C17" s="29" t="s">
        <v>73</v>
      </c>
      <c r="D17" s="36">
        <v>0.05</v>
      </c>
      <c r="E17" s="40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33.75" customHeight="1" x14ac:dyDescent="0.25">
      <c r="B18" s="3" t="s">
        <v>82</v>
      </c>
      <c r="C18" s="29" t="s">
        <v>73</v>
      </c>
      <c r="D18" s="36">
        <v>0.05</v>
      </c>
      <c r="E18" s="40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33.75" customHeight="1" x14ac:dyDescent="0.25">
      <c r="B19" s="3" t="s">
        <v>83</v>
      </c>
      <c r="C19" s="29" t="s">
        <v>73</v>
      </c>
      <c r="D19" s="36">
        <v>0.05</v>
      </c>
      <c r="E19" s="40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33.75" customHeight="1" x14ac:dyDescent="0.25">
      <c r="B20" s="3" t="s">
        <v>84</v>
      </c>
      <c r="C20" s="29" t="s">
        <v>73</v>
      </c>
      <c r="D20" s="36">
        <v>0.05</v>
      </c>
      <c r="E20" s="40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39.15" customHeight="1" x14ac:dyDescent="0.25">
      <c r="A21" s="45" t="s">
        <v>85</v>
      </c>
      <c r="B21" s="3" t="s">
        <v>86</v>
      </c>
      <c r="C21" s="29" t="s">
        <v>73</v>
      </c>
      <c r="D21" s="36">
        <v>0.04</v>
      </c>
      <c r="E21" s="40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33.75" customHeight="1" x14ac:dyDescent="0.25">
      <c r="A22" s="426" t="s">
        <v>87</v>
      </c>
      <c r="B22" s="3" t="s">
        <v>88</v>
      </c>
      <c r="C22" s="29" t="s">
        <v>73</v>
      </c>
      <c r="D22" s="36">
        <v>0.04</v>
      </c>
      <c r="E22" s="40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33.75" customHeight="1" x14ac:dyDescent="0.25">
      <c r="A23" s="426"/>
      <c r="B23" s="3" t="s">
        <v>89</v>
      </c>
      <c r="C23" s="29" t="s">
        <v>73</v>
      </c>
      <c r="D23" s="36">
        <v>0.04</v>
      </c>
      <c r="E23" s="40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33.75" customHeight="1" x14ac:dyDescent="0.25">
      <c r="A24" s="426"/>
      <c r="B24" s="3" t="s">
        <v>90</v>
      </c>
      <c r="C24" s="29" t="s">
        <v>73</v>
      </c>
      <c r="D24" s="36">
        <v>0.04</v>
      </c>
      <c r="E24" s="40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33.75" customHeight="1" x14ac:dyDescent="0.25">
      <c r="B25" s="3" t="s">
        <v>91</v>
      </c>
      <c r="C25" s="29" t="s">
        <v>73</v>
      </c>
      <c r="D25" s="36">
        <v>0.05</v>
      </c>
      <c r="E25" s="40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33.75" customHeight="1" x14ac:dyDescent="0.25">
      <c r="B26" s="3" t="s">
        <v>92</v>
      </c>
      <c r="C26" s="29" t="s">
        <v>73</v>
      </c>
      <c r="D26" s="36">
        <v>0.05</v>
      </c>
      <c r="E26" s="40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33.75" customHeight="1" x14ac:dyDescent="0.25">
      <c r="B27" s="5"/>
      <c r="C27" s="34"/>
      <c r="D27" s="3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33.75" customHeight="1" x14ac:dyDescent="0.25">
      <c r="B28" s="46" t="s">
        <v>93</v>
      </c>
      <c r="C28" s="14"/>
      <c r="D28" s="33">
        <f>SUM(D29:D36)</f>
        <v>0.19999999999999996</v>
      </c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33.75" customHeight="1" x14ac:dyDescent="0.25">
      <c r="A29" s="427" t="s">
        <v>94</v>
      </c>
      <c r="B29" s="3" t="s">
        <v>95</v>
      </c>
      <c r="C29" s="29" t="s">
        <v>73</v>
      </c>
      <c r="D29" s="38">
        <v>0.03</v>
      </c>
      <c r="E29" s="41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33.75" customHeight="1" x14ac:dyDescent="0.25">
      <c r="A30" s="427"/>
      <c r="B30" s="3" t="s">
        <v>96</v>
      </c>
      <c r="C30" s="29" t="s">
        <v>73</v>
      </c>
      <c r="D30" s="36">
        <v>0.03</v>
      </c>
      <c r="E30" s="41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33.75" customHeight="1" x14ac:dyDescent="0.25">
      <c r="A31" s="427"/>
      <c r="B31" s="3" t="s">
        <v>97</v>
      </c>
      <c r="C31" s="29" t="s">
        <v>73</v>
      </c>
      <c r="D31" s="36">
        <v>0.03</v>
      </c>
      <c r="E31" s="41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33.75" customHeight="1" x14ac:dyDescent="0.25">
      <c r="A32" s="427"/>
      <c r="B32" s="3" t="s">
        <v>98</v>
      </c>
      <c r="C32" s="29" t="s">
        <v>73</v>
      </c>
      <c r="D32" s="36">
        <v>0.03</v>
      </c>
      <c r="E32" s="41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33.75" customHeight="1" x14ac:dyDescent="0.25">
      <c r="A33" s="427"/>
      <c r="B33" s="3" t="s">
        <v>99</v>
      </c>
      <c r="C33" s="29" t="s">
        <v>73</v>
      </c>
      <c r="D33" s="38">
        <v>0.02</v>
      </c>
      <c r="E33" s="41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33.75" customHeight="1" x14ac:dyDescent="0.25">
      <c r="A34" s="427"/>
      <c r="B34" s="3" t="s">
        <v>100</v>
      </c>
      <c r="C34" s="29" t="s">
        <v>73</v>
      </c>
      <c r="D34" s="39">
        <v>0.02</v>
      </c>
      <c r="E34" s="41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33.75" customHeight="1" x14ac:dyDescent="0.25">
      <c r="A35" s="427"/>
      <c r="B35" s="3" t="s">
        <v>101</v>
      </c>
      <c r="C35" s="29" t="s">
        <v>73</v>
      </c>
      <c r="D35" s="39">
        <v>0.02</v>
      </c>
      <c r="E35" s="41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33.75" customHeight="1" x14ac:dyDescent="0.25">
      <c r="A36" s="427"/>
      <c r="B36" s="3" t="s">
        <v>102</v>
      </c>
      <c r="C36" s="29" t="s">
        <v>73</v>
      </c>
      <c r="D36" s="39">
        <v>0.02</v>
      </c>
      <c r="E36" s="40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33.75" customHeight="1" x14ac:dyDescent="0.25">
      <c r="A37" s="8"/>
      <c r="B37" s="5"/>
      <c r="C37" s="34"/>
      <c r="D37" s="42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33.75" customHeight="1" x14ac:dyDescent="0.25">
      <c r="B38" s="46" t="s">
        <v>103</v>
      </c>
      <c r="C38" s="14"/>
      <c r="D38" s="33">
        <f>SUM(D39:D46)</f>
        <v>0.19999999999999998</v>
      </c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33.75" customHeight="1" x14ac:dyDescent="0.25">
      <c r="A39" s="428" t="s">
        <v>104</v>
      </c>
      <c r="B39" s="3" t="s">
        <v>105</v>
      </c>
      <c r="C39" s="29" t="s">
        <v>73</v>
      </c>
      <c r="D39" s="38">
        <v>0.03</v>
      </c>
      <c r="E39" s="40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33.75" customHeight="1" x14ac:dyDescent="0.25">
      <c r="A40" s="429"/>
      <c r="B40" s="3" t="s">
        <v>106</v>
      </c>
      <c r="C40" s="29" t="s">
        <v>73</v>
      </c>
      <c r="D40" s="36">
        <v>0.03</v>
      </c>
      <c r="E40" s="41"/>
    </row>
    <row r="41" spans="1:27" ht="33.75" customHeight="1" x14ac:dyDescent="0.25">
      <c r="A41" s="429"/>
      <c r="B41" s="3" t="s">
        <v>107</v>
      </c>
      <c r="C41" s="29" t="s">
        <v>73</v>
      </c>
      <c r="D41" s="36">
        <v>0.04</v>
      </c>
      <c r="E41" s="41"/>
    </row>
    <row r="42" spans="1:27" ht="33.75" customHeight="1" x14ac:dyDescent="0.25">
      <c r="A42" s="429"/>
      <c r="B42" s="3" t="s">
        <v>108</v>
      </c>
      <c r="C42" s="29" t="s">
        <v>73</v>
      </c>
      <c r="D42" s="38">
        <v>0.02</v>
      </c>
      <c r="E42" s="41"/>
    </row>
    <row r="43" spans="1:27" ht="33.75" customHeight="1" x14ac:dyDescent="0.25">
      <c r="A43" s="429"/>
      <c r="B43" s="3" t="s">
        <v>109</v>
      </c>
      <c r="C43" s="29" t="s">
        <v>73</v>
      </c>
      <c r="D43" s="39">
        <v>0.02</v>
      </c>
      <c r="E43" s="41"/>
    </row>
    <row r="44" spans="1:27" ht="33.75" customHeight="1" x14ac:dyDescent="0.25">
      <c r="A44" s="429"/>
      <c r="B44" s="3" t="s">
        <v>101</v>
      </c>
      <c r="C44" s="29" t="s">
        <v>73</v>
      </c>
      <c r="D44" s="39">
        <v>0.02</v>
      </c>
      <c r="E44" s="41"/>
    </row>
    <row r="45" spans="1:27" ht="33.75" customHeight="1" x14ac:dyDescent="0.25">
      <c r="A45" s="429"/>
      <c r="B45" s="3" t="s">
        <v>110</v>
      </c>
      <c r="C45" s="29" t="s">
        <v>73</v>
      </c>
      <c r="D45" s="39">
        <v>0.02</v>
      </c>
      <c r="E45" s="41"/>
    </row>
    <row r="46" spans="1:27" ht="33.75" customHeight="1" x14ac:dyDescent="0.25">
      <c r="A46" s="430"/>
      <c r="B46" s="3" t="s">
        <v>102</v>
      </c>
      <c r="C46" s="29" t="s">
        <v>73</v>
      </c>
      <c r="D46" s="39">
        <v>0.02</v>
      </c>
      <c r="E46" s="41"/>
    </row>
    <row r="48" spans="1:27" ht="33.75" customHeight="1" x14ac:dyDescent="0.25">
      <c r="B48" s="3" t="s">
        <v>111</v>
      </c>
      <c r="C48" s="420">
        <v>10</v>
      </c>
      <c r="D48" s="421"/>
      <c r="E48" s="30"/>
    </row>
  </sheetData>
  <mergeCells count="7">
    <mergeCell ref="C48:D48"/>
    <mergeCell ref="B1:C1"/>
    <mergeCell ref="B7:C7"/>
    <mergeCell ref="B13:C13"/>
    <mergeCell ref="A22:A24"/>
    <mergeCell ref="A29:A36"/>
    <mergeCell ref="A39:A46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65"/>
  <sheetViews>
    <sheetView showGridLines="0" topLeftCell="A29" zoomScale="90" zoomScaleNormal="90" workbookViewId="0">
      <selection activeCell="B39" sqref="B39"/>
    </sheetView>
  </sheetViews>
  <sheetFormatPr defaultColWidth="9" defaultRowHeight="33.75" customHeight="1" x14ac:dyDescent="0.3"/>
  <cols>
    <col min="1" max="1" width="29.88671875" style="97" customWidth="1"/>
    <col min="2" max="2" width="133.5546875" style="85" customWidth="1"/>
    <col min="3" max="3" width="18" style="86" customWidth="1"/>
    <col min="4" max="4" width="12" style="87" customWidth="1"/>
    <col min="5" max="5" width="5.88671875" hidden="1" customWidth="1"/>
    <col min="6" max="6" width="24.5546875" bestFit="1" customWidth="1"/>
    <col min="7" max="7" width="9.5546875" bestFit="1" customWidth="1"/>
    <col min="8" max="8" width="12.88671875" customWidth="1"/>
    <col min="10" max="10" width="11.5546875" customWidth="1"/>
    <col min="11" max="11" width="10.44140625" customWidth="1"/>
    <col min="13" max="13" width="13.44140625" customWidth="1"/>
    <col min="14" max="14" width="10.88671875" customWidth="1"/>
    <col min="15" max="15" width="12.109375" customWidth="1"/>
  </cols>
  <sheetData>
    <row r="1" spans="1:25" ht="45" customHeight="1" x14ac:dyDescent="0.3">
      <c r="B1" s="431" t="s">
        <v>112</v>
      </c>
      <c r="C1" s="431"/>
      <c r="D1" s="82"/>
    </row>
    <row r="2" spans="1:25" ht="16.5" customHeight="1" x14ac:dyDescent="0.3">
      <c r="B2" s="83" t="s">
        <v>14</v>
      </c>
      <c r="C2" s="83"/>
      <c r="D2" s="82"/>
    </row>
    <row r="3" spans="1:25" ht="15.6" x14ac:dyDescent="0.3">
      <c r="B3" s="83" t="s">
        <v>113</v>
      </c>
      <c r="C3" s="83"/>
      <c r="D3" s="84"/>
    </row>
    <row r="4" spans="1:25" ht="15.6" x14ac:dyDescent="0.3">
      <c r="B4" s="83" t="s">
        <v>114</v>
      </c>
      <c r="C4" s="83"/>
      <c r="D4" s="84"/>
    </row>
    <row r="5" spans="1:25" ht="15.6" x14ac:dyDescent="0.3">
      <c r="B5" s="83" t="s">
        <v>115</v>
      </c>
      <c r="C5" s="83"/>
      <c r="D5" s="84"/>
    </row>
    <row r="6" spans="1:25" ht="15.6" x14ac:dyDescent="0.3">
      <c r="B6" s="83" t="s">
        <v>116</v>
      </c>
      <c r="C6" s="83"/>
      <c r="D6" s="84"/>
    </row>
    <row r="7" spans="1:25" ht="33.75" customHeight="1" x14ac:dyDescent="0.3">
      <c r="B7" s="85" t="s">
        <v>117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31.5" customHeight="1" x14ac:dyDescent="0.3">
      <c r="B8" s="88" t="s">
        <v>118</v>
      </c>
      <c r="C8" s="88"/>
      <c r="D8" s="74">
        <v>0.2</v>
      </c>
      <c r="E8" s="95">
        <f>SUM(D9:D11)</f>
        <v>0.99999999999999989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6.5" customHeight="1" x14ac:dyDescent="0.3">
      <c r="B9" s="52" t="s">
        <v>119</v>
      </c>
      <c r="C9" s="96" t="s">
        <v>20</v>
      </c>
      <c r="D9" s="90">
        <v>0.35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6" x14ac:dyDescent="0.3">
      <c r="B10" s="89" t="s">
        <v>120</v>
      </c>
      <c r="C10" s="96" t="s">
        <v>20</v>
      </c>
      <c r="D10" s="91">
        <v>0.3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6" x14ac:dyDescent="0.3">
      <c r="B11" s="89" t="s">
        <v>121</v>
      </c>
      <c r="C11" s="96" t="s">
        <v>20</v>
      </c>
      <c r="D11" s="91">
        <v>0.35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33.75" customHeight="1" x14ac:dyDescent="0.3">
      <c r="B12" s="94"/>
      <c r="C12" s="93"/>
      <c r="D12" s="92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21" x14ac:dyDescent="0.3">
      <c r="A13" s="70"/>
      <c r="B13" s="60" t="s">
        <v>26</v>
      </c>
      <c r="C13" s="61"/>
      <c r="D13" s="74">
        <v>0.5</v>
      </c>
      <c r="E13" s="95">
        <f>SUM(D14:D36)</f>
        <v>1.0000000000000002</v>
      </c>
      <c r="F13" s="95">
        <f>SUM(D14:D36)</f>
        <v>1.0000000000000002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6" x14ac:dyDescent="0.3">
      <c r="A14" s="69"/>
      <c r="B14" s="52" t="s">
        <v>122</v>
      </c>
      <c r="C14" s="96" t="s">
        <v>20</v>
      </c>
      <c r="D14" s="57">
        <v>0.05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31.2" x14ac:dyDescent="0.3">
      <c r="A15" s="68"/>
      <c r="B15" s="52" t="s">
        <v>123</v>
      </c>
      <c r="C15" s="96" t="s">
        <v>20</v>
      </c>
      <c r="D15" s="57">
        <v>0.05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6" x14ac:dyDescent="0.3">
      <c r="A16" s="432" t="s">
        <v>124</v>
      </c>
      <c r="B16" s="121" t="s">
        <v>125</v>
      </c>
      <c r="C16" s="433" t="s">
        <v>29</v>
      </c>
      <c r="D16" s="436">
        <v>0.15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6" x14ac:dyDescent="0.3">
      <c r="A17" s="432"/>
      <c r="B17" s="121" t="s">
        <v>126</v>
      </c>
      <c r="C17" s="434"/>
      <c r="D17" s="437"/>
    </row>
    <row r="18" spans="1:25" ht="31.2" x14ac:dyDescent="0.3">
      <c r="A18" s="432"/>
      <c r="B18" s="62" t="s">
        <v>127</v>
      </c>
      <c r="C18" s="435"/>
      <c r="D18" s="438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6" x14ac:dyDescent="0.3">
      <c r="A19" s="81" t="s">
        <v>128</v>
      </c>
      <c r="B19" s="121" t="s">
        <v>129</v>
      </c>
      <c r="C19" s="96" t="s">
        <v>20</v>
      </c>
      <c r="D19" s="63">
        <v>0.15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439" t="s">
        <v>130</v>
      </c>
      <c r="B20" s="121" t="s">
        <v>131</v>
      </c>
      <c r="C20" s="96" t="s">
        <v>20</v>
      </c>
      <c r="D20" s="63">
        <v>0.1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6" x14ac:dyDescent="0.3">
      <c r="A21" s="440"/>
      <c r="B21" s="52" t="s">
        <v>132</v>
      </c>
      <c r="C21" s="96" t="s">
        <v>20</v>
      </c>
      <c r="D21" s="63">
        <v>0.1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6" x14ac:dyDescent="0.3">
      <c r="A22" s="439" t="s">
        <v>133</v>
      </c>
      <c r="B22" s="52" t="s">
        <v>134</v>
      </c>
      <c r="C22" s="433" t="s">
        <v>33</v>
      </c>
      <c r="D22" s="436">
        <v>0.1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6" x14ac:dyDescent="0.3">
      <c r="A23" s="440"/>
      <c r="B23" s="52" t="s">
        <v>135</v>
      </c>
      <c r="C23" s="434"/>
      <c r="D23" s="437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6" x14ac:dyDescent="0.3">
      <c r="A24" s="441"/>
      <c r="B24" s="64" t="s">
        <v>136</v>
      </c>
      <c r="C24" s="434"/>
      <c r="D24" s="437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6" x14ac:dyDescent="0.3">
      <c r="A25" s="432" t="s">
        <v>137</v>
      </c>
      <c r="B25" s="64" t="s">
        <v>138</v>
      </c>
      <c r="C25" s="434"/>
      <c r="D25" s="437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6" x14ac:dyDescent="0.3">
      <c r="A26" s="432"/>
      <c r="B26" s="65" t="s">
        <v>139</v>
      </c>
      <c r="C26" s="434"/>
      <c r="D26" s="437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31.2" x14ac:dyDescent="0.3">
      <c r="A27" s="432"/>
      <c r="B27" s="66" t="s">
        <v>140</v>
      </c>
      <c r="C27" s="434"/>
      <c r="D27" s="437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31.2" x14ac:dyDescent="0.3">
      <c r="A28" s="432" t="s">
        <v>141</v>
      </c>
      <c r="B28" s="52" t="s">
        <v>142</v>
      </c>
      <c r="C28" s="434"/>
      <c r="D28" s="437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6" x14ac:dyDescent="0.3">
      <c r="A29" s="432"/>
      <c r="B29" s="52" t="s">
        <v>143</v>
      </c>
      <c r="C29" s="434"/>
      <c r="D29" s="437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6" x14ac:dyDescent="0.3">
      <c r="A30" s="432"/>
      <c r="B30" s="52" t="s">
        <v>144</v>
      </c>
      <c r="C30" s="435"/>
      <c r="D30" s="438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6" x14ac:dyDescent="0.3">
      <c r="A31" s="68"/>
      <c r="B31" s="67" t="s">
        <v>145</v>
      </c>
      <c r="C31" s="96" t="s">
        <v>20</v>
      </c>
      <c r="D31" s="57">
        <v>0.05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6" x14ac:dyDescent="0.3">
      <c r="A32" s="68"/>
      <c r="B32" s="67" t="s">
        <v>146</v>
      </c>
      <c r="C32" s="96" t="s">
        <v>20</v>
      </c>
      <c r="D32" s="57">
        <v>0.05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6" x14ac:dyDescent="0.3">
      <c r="A33" s="69"/>
      <c r="B33" s="52" t="s">
        <v>147</v>
      </c>
      <c r="C33" s="96" t="s">
        <v>20</v>
      </c>
      <c r="D33" s="57">
        <v>0.05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31.2" x14ac:dyDescent="0.3">
      <c r="A34" s="71" t="s">
        <v>148</v>
      </c>
      <c r="B34" s="52" t="s">
        <v>149</v>
      </c>
      <c r="C34" s="96" t="s">
        <v>20</v>
      </c>
      <c r="D34" s="57">
        <v>0.05</v>
      </c>
    </row>
    <row r="35" spans="1:25" ht="15.6" x14ac:dyDescent="0.3">
      <c r="A35" s="69"/>
      <c r="B35" s="52" t="s">
        <v>150</v>
      </c>
      <c r="C35" s="96" t="s">
        <v>20</v>
      </c>
      <c r="D35" s="57">
        <v>0.05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6" x14ac:dyDescent="0.3">
      <c r="A36" s="69"/>
      <c r="B36" s="52" t="s">
        <v>151</v>
      </c>
      <c r="C36" s="96" t="s">
        <v>20</v>
      </c>
      <c r="D36" s="57">
        <v>0.05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6" x14ac:dyDescent="0.3"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33.75" customHeight="1" x14ac:dyDescent="0.3">
      <c r="B38" s="60" t="s">
        <v>50</v>
      </c>
      <c r="C38" s="61"/>
      <c r="D38" s="74">
        <v>0.3</v>
      </c>
      <c r="E38" s="101">
        <f>SUM(D39:D42)</f>
        <v>1</v>
      </c>
    </row>
    <row r="39" spans="1:25" ht="15.6" x14ac:dyDescent="0.3">
      <c r="B39" s="52" t="s">
        <v>152</v>
      </c>
      <c r="C39" s="55" t="s">
        <v>20</v>
      </c>
      <c r="D39" s="51">
        <v>0.1</v>
      </c>
      <c r="E39" s="47"/>
    </row>
    <row r="40" spans="1:25" ht="15.6" x14ac:dyDescent="0.3">
      <c r="B40" s="52" t="s">
        <v>153</v>
      </c>
      <c r="C40" s="55" t="s">
        <v>20</v>
      </c>
      <c r="D40" s="51">
        <v>0.35</v>
      </c>
      <c r="E40" s="47"/>
    </row>
    <row r="41" spans="1:25" ht="31.2" x14ac:dyDescent="0.3">
      <c r="B41" s="52" t="s">
        <v>154</v>
      </c>
      <c r="C41" s="55" t="s">
        <v>20</v>
      </c>
      <c r="D41" s="51">
        <v>0.3</v>
      </c>
      <c r="E41" s="47"/>
    </row>
    <row r="42" spans="1:25" ht="15.6" x14ac:dyDescent="0.3">
      <c r="B42" s="52" t="s">
        <v>155</v>
      </c>
      <c r="C42" s="55" t="s">
        <v>20</v>
      </c>
      <c r="D42" s="51">
        <v>0.25</v>
      </c>
      <c r="E42" s="47"/>
    </row>
    <row r="43" spans="1:25" ht="33.75" customHeight="1" x14ac:dyDescent="0.3">
      <c r="B43" s="1"/>
      <c r="C43" s="1"/>
      <c r="D43" s="1"/>
      <c r="E43" s="1"/>
    </row>
    <row r="44" spans="1:25" ht="33.75" customHeight="1" x14ac:dyDescent="0.3">
      <c r="B44" s="60" t="s">
        <v>156</v>
      </c>
      <c r="C44" s="88"/>
      <c r="D44" s="74">
        <v>0.3</v>
      </c>
      <c r="E44" s="95">
        <f>SUM(D45:D51)</f>
        <v>0.90000000000000013</v>
      </c>
    </row>
    <row r="45" spans="1:25" ht="15.6" x14ac:dyDescent="0.3">
      <c r="B45" s="52" t="s">
        <v>153</v>
      </c>
      <c r="C45" s="96" t="s">
        <v>20</v>
      </c>
      <c r="D45" s="51">
        <v>0.25</v>
      </c>
      <c r="E45" s="1"/>
    </row>
    <row r="46" spans="1:25" ht="17.25" customHeight="1" x14ac:dyDescent="0.3">
      <c r="B46" s="52" t="s">
        <v>157</v>
      </c>
      <c r="C46" s="96" t="s">
        <v>20</v>
      </c>
      <c r="D46" s="51">
        <v>0.2</v>
      </c>
      <c r="E46" s="1"/>
    </row>
    <row r="47" spans="1:25" ht="15.6" x14ac:dyDescent="0.3">
      <c r="B47" s="114" t="s">
        <v>158</v>
      </c>
      <c r="C47" s="96" t="s">
        <v>20</v>
      </c>
      <c r="D47" s="115">
        <v>0.1</v>
      </c>
      <c r="E47" s="1"/>
    </row>
    <row r="48" spans="1:25" ht="15.6" x14ac:dyDescent="0.3">
      <c r="B48" s="89" t="s">
        <v>159</v>
      </c>
      <c r="C48" s="96" t="s">
        <v>20</v>
      </c>
      <c r="D48" s="91">
        <v>0.1</v>
      </c>
      <c r="E48" s="1"/>
    </row>
    <row r="49" spans="1:5" ht="15.6" x14ac:dyDescent="0.3">
      <c r="B49" s="89" t="s">
        <v>160</v>
      </c>
      <c r="C49" s="96" t="s">
        <v>20</v>
      </c>
      <c r="D49" s="91">
        <v>0.05</v>
      </c>
      <c r="E49" s="1"/>
    </row>
    <row r="50" spans="1:5" ht="15.6" x14ac:dyDescent="0.3">
      <c r="B50" s="89" t="s">
        <v>161</v>
      </c>
      <c r="C50" s="96" t="s">
        <v>20</v>
      </c>
      <c r="D50" s="91">
        <v>0.15</v>
      </c>
      <c r="E50" s="1"/>
    </row>
    <row r="51" spans="1:5" ht="15.6" x14ac:dyDescent="0.3">
      <c r="B51" s="89" t="s">
        <v>162</v>
      </c>
      <c r="C51" s="96" t="s">
        <v>20</v>
      </c>
      <c r="D51" s="91">
        <v>0.05</v>
      </c>
      <c r="E51" s="1"/>
    </row>
    <row r="52" spans="1:5" ht="33.75" customHeight="1" x14ac:dyDescent="0.3">
      <c r="B52" s="116"/>
      <c r="C52" s="117"/>
      <c r="D52" s="118"/>
    </row>
    <row r="53" spans="1:5" ht="33.75" customHeight="1" x14ac:dyDescent="0.3">
      <c r="B53" s="60" t="s">
        <v>163</v>
      </c>
      <c r="C53" s="61"/>
      <c r="D53" s="74">
        <v>0.3</v>
      </c>
      <c r="E53" s="112">
        <f>SUM(D54:D59)</f>
        <v>0.85</v>
      </c>
    </row>
    <row r="54" spans="1:5" ht="15.6" x14ac:dyDescent="0.3">
      <c r="A54" s="120" t="s">
        <v>164</v>
      </c>
      <c r="B54" s="73" t="s">
        <v>165</v>
      </c>
      <c r="C54" s="96" t="s">
        <v>20</v>
      </c>
      <c r="D54" s="51">
        <v>0.2</v>
      </c>
      <c r="E54" s="7"/>
    </row>
    <row r="55" spans="1:5" ht="15.6" x14ac:dyDescent="0.3">
      <c r="B55" s="89" t="s">
        <v>159</v>
      </c>
      <c r="C55" s="96" t="s">
        <v>20</v>
      </c>
      <c r="D55" s="91">
        <v>0.15</v>
      </c>
    </row>
    <row r="56" spans="1:5" ht="15.6" x14ac:dyDescent="0.3">
      <c r="B56" s="75" t="s">
        <v>57</v>
      </c>
      <c r="C56" s="96" t="s">
        <v>20</v>
      </c>
      <c r="D56" s="51">
        <v>0.2</v>
      </c>
      <c r="E56" s="113"/>
    </row>
    <row r="57" spans="1:5" ht="15.6" x14ac:dyDescent="0.3">
      <c r="B57" s="73" t="s">
        <v>166</v>
      </c>
      <c r="C57" s="96" t="s">
        <v>20</v>
      </c>
      <c r="D57" s="51">
        <v>0.1</v>
      </c>
      <c r="E57" s="6"/>
    </row>
    <row r="58" spans="1:5" ht="31.2" x14ac:dyDescent="0.3">
      <c r="B58" s="73" t="s">
        <v>167</v>
      </c>
      <c r="C58" s="96" t="s">
        <v>20</v>
      </c>
      <c r="D58" s="51">
        <v>0.1</v>
      </c>
      <c r="E58" s="6"/>
    </row>
    <row r="59" spans="1:5" ht="15.6" x14ac:dyDescent="0.3">
      <c r="B59" s="114" t="s">
        <v>158</v>
      </c>
      <c r="C59" s="96" t="s">
        <v>20</v>
      </c>
      <c r="D59" s="115">
        <v>0.1</v>
      </c>
    </row>
    <row r="60" spans="1:5" ht="15.6" x14ac:dyDescent="0.3">
      <c r="B60" s="89" t="s">
        <v>160</v>
      </c>
      <c r="C60" s="96" t="s">
        <v>20</v>
      </c>
      <c r="D60" s="91">
        <v>0.05</v>
      </c>
    </row>
    <row r="61" spans="1:5" ht="15.6" x14ac:dyDescent="0.3">
      <c r="B61" s="89" t="s">
        <v>162</v>
      </c>
      <c r="C61" s="96" t="s">
        <v>20</v>
      </c>
      <c r="D61" s="91">
        <v>0.05</v>
      </c>
    </row>
    <row r="62" spans="1:5" ht="33.75" customHeight="1" x14ac:dyDescent="0.3">
      <c r="C62"/>
    </row>
    <row r="63" spans="1:5" ht="33.75" customHeight="1" x14ac:dyDescent="0.3">
      <c r="B63" s="60" t="s">
        <v>58</v>
      </c>
      <c r="C63" s="61"/>
    </row>
    <row r="64" spans="1:5" ht="31.2" x14ac:dyDescent="0.3">
      <c r="B64" s="89" t="s">
        <v>168</v>
      </c>
      <c r="C64" s="55">
        <v>0</v>
      </c>
    </row>
    <row r="65" spans="2:3" ht="15.6" x14ac:dyDescent="0.3">
      <c r="B65" s="52" t="s">
        <v>60</v>
      </c>
      <c r="C65" s="55"/>
    </row>
  </sheetData>
  <mergeCells count="10">
    <mergeCell ref="A22:A24"/>
    <mergeCell ref="C22:C30"/>
    <mergeCell ref="D22:D30"/>
    <mergeCell ref="A25:A27"/>
    <mergeCell ref="A28:A30"/>
    <mergeCell ref="B1:C1"/>
    <mergeCell ref="A16:A18"/>
    <mergeCell ref="C16:C18"/>
    <mergeCell ref="D16:D18"/>
    <mergeCell ref="A20:A21"/>
  </mergeCells>
  <dataValidations count="3">
    <dataValidation type="list" allowBlank="1" showInputMessage="1" showErrorMessage="1" sqref="G6" xr:uid="{00000000-0002-0000-0500-000000000000}">
      <formula1>"Արական, Իգական"</formula1>
    </dataValidation>
    <dataValidation type="list" allowBlank="1" showInputMessage="1" showErrorMessage="1" sqref="C64" xr:uid="{00000000-0002-0000-0500-000001000000}">
      <formula1>"0, 1, 2, 3, 4, 5, 6, 7, 9, 10"</formula1>
    </dataValidation>
    <dataValidation type="list" allowBlank="1" showInputMessage="1" showErrorMessage="1" sqref="C44:C51 C54:C61" xr:uid="{00000000-0002-0000-0500-000003000000}"/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2000000}">
          <x14:formula1>
            <xm:f>mapping!$A$2:$A$3</xm:f>
          </x14:formula1>
          <xm:sqref>C14:C15 C19:C21 C9:C12 C31:C37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E54"/>
  <sheetViews>
    <sheetView showGridLines="0" topLeftCell="A24" zoomScale="93" zoomScaleNormal="80" workbookViewId="0">
      <selection activeCell="D49" sqref="D49"/>
    </sheetView>
  </sheetViews>
  <sheetFormatPr defaultColWidth="9.109375" defaultRowHeight="13.8" x14ac:dyDescent="0.25"/>
  <cols>
    <col min="1" max="1" width="9.109375" style="17"/>
    <col min="2" max="2" width="92" style="17" customWidth="1"/>
    <col min="3" max="3" width="9.109375" style="17"/>
    <col min="4" max="4" width="56.44140625" style="17" customWidth="1"/>
    <col min="5" max="5" width="24.44140625" style="17" customWidth="1"/>
    <col min="6" max="16384" width="9.109375" style="17"/>
  </cols>
  <sheetData>
    <row r="1" spans="2:5" ht="43.5" customHeight="1" x14ac:dyDescent="0.25">
      <c r="B1" s="445" t="s">
        <v>169</v>
      </c>
      <c r="C1" s="445"/>
      <c r="D1" s="28" t="s">
        <v>65</v>
      </c>
    </row>
    <row r="2" spans="2:5" x14ac:dyDescent="0.25">
      <c r="B2" s="446" t="s">
        <v>170</v>
      </c>
      <c r="C2" s="447"/>
      <c r="D2" s="448"/>
    </row>
    <row r="3" spans="2:5" ht="15" customHeight="1" x14ac:dyDescent="0.25">
      <c r="B3" s="446" t="s">
        <v>171</v>
      </c>
      <c r="C3" s="447"/>
      <c r="D3" s="448"/>
    </row>
    <row r="4" spans="2:5" ht="15" customHeight="1" x14ac:dyDescent="0.25">
      <c r="B4" s="446" t="s">
        <v>172</v>
      </c>
      <c r="C4" s="447"/>
      <c r="D4" s="448"/>
    </row>
    <row r="5" spans="2:5" ht="15" customHeight="1" x14ac:dyDescent="0.25">
      <c r="B5" s="446" t="s">
        <v>173</v>
      </c>
      <c r="C5" s="447"/>
      <c r="D5" s="448"/>
    </row>
    <row r="8" spans="2:5" ht="32.85" customHeight="1" x14ac:dyDescent="0.25">
      <c r="B8" s="442" t="s">
        <v>174</v>
      </c>
      <c r="C8" s="442"/>
      <c r="D8" s="19">
        <v>0.2</v>
      </c>
    </row>
    <row r="9" spans="2:5" x14ac:dyDescent="0.25">
      <c r="B9" s="18" t="s">
        <v>175</v>
      </c>
      <c r="C9" s="18" t="s">
        <v>73</v>
      </c>
      <c r="D9" s="20">
        <v>0.05</v>
      </c>
    </row>
    <row r="10" spans="2:5" x14ac:dyDescent="0.25">
      <c r="B10" s="18" t="s">
        <v>176</v>
      </c>
      <c r="C10" s="18" t="s">
        <v>73</v>
      </c>
      <c r="D10" s="20">
        <v>0.05</v>
      </c>
    </row>
    <row r="11" spans="2:5" ht="27.6" x14ac:dyDescent="0.25">
      <c r="B11" s="18" t="s">
        <v>177</v>
      </c>
      <c r="C11" s="18" t="s">
        <v>73</v>
      </c>
      <c r="D11" s="20">
        <v>0.1</v>
      </c>
    </row>
    <row r="12" spans="2:5" ht="25.5" customHeight="1" x14ac:dyDescent="0.25">
      <c r="B12" s="21"/>
      <c r="C12" s="21"/>
      <c r="D12" s="21"/>
    </row>
    <row r="13" spans="2:5" ht="33.75" customHeight="1" x14ac:dyDescent="0.25">
      <c r="B13" s="442" t="s">
        <v>77</v>
      </c>
      <c r="C13" s="442"/>
      <c r="D13" s="19">
        <v>0.6</v>
      </c>
    </row>
    <row r="14" spans="2:5" ht="15" customHeight="1" x14ac:dyDescent="0.25">
      <c r="B14" s="18" t="s">
        <v>178</v>
      </c>
      <c r="C14" s="18" t="s">
        <v>73</v>
      </c>
      <c r="D14" s="20">
        <v>0.04</v>
      </c>
      <c r="E14" s="22"/>
    </row>
    <row r="15" spans="2:5" ht="15" customHeight="1" x14ac:dyDescent="0.25">
      <c r="B15" s="23" t="s">
        <v>179</v>
      </c>
      <c r="C15" s="18" t="s">
        <v>73</v>
      </c>
      <c r="D15" s="20">
        <v>0.04</v>
      </c>
      <c r="E15" s="22"/>
    </row>
    <row r="16" spans="2:5" ht="27.6" x14ac:dyDescent="0.25">
      <c r="B16" s="24" t="s">
        <v>180</v>
      </c>
      <c r="C16" s="18" t="s">
        <v>73</v>
      </c>
      <c r="D16" s="20">
        <v>0.04</v>
      </c>
      <c r="E16" s="22"/>
    </row>
    <row r="17" spans="2:5" ht="15" customHeight="1" x14ac:dyDescent="0.25">
      <c r="B17" s="18" t="s">
        <v>181</v>
      </c>
      <c r="C17" s="18" t="s">
        <v>73</v>
      </c>
      <c r="D17" s="20">
        <v>0.04</v>
      </c>
      <c r="E17" s="22"/>
    </row>
    <row r="18" spans="2:5" ht="15" customHeight="1" x14ac:dyDescent="0.25">
      <c r="B18" s="18" t="s">
        <v>182</v>
      </c>
      <c r="C18" s="18" t="s">
        <v>73</v>
      </c>
      <c r="D18" s="20">
        <v>0.04</v>
      </c>
      <c r="E18" s="22"/>
    </row>
    <row r="19" spans="2:5" ht="15" customHeight="1" x14ac:dyDescent="0.25">
      <c r="B19" s="18" t="s">
        <v>183</v>
      </c>
      <c r="C19" s="18" t="s">
        <v>73</v>
      </c>
      <c r="D19" s="20">
        <v>0.04</v>
      </c>
      <c r="E19" s="22"/>
    </row>
    <row r="20" spans="2:5" ht="27.6" x14ac:dyDescent="0.25">
      <c r="B20" s="18" t="s">
        <v>184</v>
      </c>
      <c r="C20" s="18" t="s">
        <v>73</v>
      </c>
      <c r="D20" s="20">
        <v>0.05</v>
      </c>
      <c r="E20" s="22"/>
    </row>
    <row r="21" spans="2:5" ht="25.5" customHeight="1" x14ac:dyDescent="0.25">
      <c r="B21" s="18" t="s">
        <v>185</v>
      </c>
      <c r="C21" s="18" t="s">
        <v>73</v>
      </c>
      <c r="D21" s="20">
        <v>0.04</v>
      </c>
      <c r="E21" s="22"/>
    </row>
    <row r="22" spans="2:5" ht="15" customHeight="1" x14ac:dyDescent="0.25">
      <c r="B22" s="18" t="s">
        <v>186</v>
      </c>
      <c r="C22" s="18" t="s">
        <v>73</v>
      </c>
      <c r="D22" s="20">
        <v>0.04</v>
      </c>
    </row>
    <row r="23" spans="2:5" ht="25.5" customHeight="1" x14ac:dyDescent="0.25">
      <c r="B23" s="18" t="s">
        <v>187</v>
      </c>
      <c r="C23" s="18" t="s">
        <v>73</v>
      </c>
      <c r="D23" s="20">
        <v>0.04</v>
      </c>
    </row>
    <row r="24" spans="2:5" ht="15" customHeight="1" x14ac:dyDescent="0.25">
      <c r="B24" s="18" t="s">
        <v>188</v>
      </c>
      <c r="C24" s="18" t="s">
        <v>73</v>
      </c>
      <c r="D24" s="20">
        <v>0.04</v>
      </c>
    </row>
    <row r="25" spans="2:5" ht="15.75" customHeight="1" x14ac:dyDescent="0.25">
      <c r="B25" s="18" t="s">
        <v>189</v>
      </c>
      <c r="C25" s="18" t="s">
        <v>73</v>
      </c>
      <c r="D25" s="20">
        <v>0.05</v>
      </c>
    </row>
    <row r="26" spans="2:5" ht="25.5" customHeight="1" x14ac:dyDescent="0.25">
      <c r="B26" s="18" t="s">
        <v>190</v>
      </c>
      <c r="C26" s="18" t="s">
        <v>73</v>
      </c>
      <c r="D26" s="20">
        <v>0.05</v>
      </c>
    </row>
    <row r="27" spans="2:5" ht="25.5" customHeight="1" x14ac:dyDescent="0.25">
      <c r="B27" s="18" t="s">
        <v>191</v>
      </c>
      <c r="C27" s="18" t="s">
        <v>73</v>
      </c>
      <c r="D27" s="20">
        <v>0.05</v>
      </c>
    </row>
    <row r="28" spans="2:5" ht="39.15" customHeight="1" x14ac:dyDescent="0.25">
      <c r="B28" s="25"/>
      <c r="C28" s="25"/>
      <c r="D28" s="26"/>
    </row>
    <row r="29" spans="2:5" ht="35.4" customHeight="1" x14ac:dyDescent="0.25">
      <c r="B29" s="443" t="s">
        <v>192</v>
      </c>
      <c r="C29" s="444"/>
      <c r="D29" s="19">
        <v>0.2</v>
      </c>
    </row>
    <row r="30" spans="2:5" ht="15" customHeight="1" x14ac:dyDescent="0.25">
      <c r="B30" s="18" t="s">
        <v>193</v>
      </c>
      <c r="C30" s="18" t="s">
        <v>73</v>
      </c>
      <c r="D30" s="20">
        <v>0.02</v>
      </c>
      <c r="E30" s="22"/>
    </row>
    <row r="31" spans="2:5" ht="15.75" customHeight="1" x14ac:dyDescent="0.25">
      <c r="B31" s="18" t="s">
        <v>194</v>
      </c>
      <c r="C31" s="18" t="s">
        <v>73</v>
      </c>
      <c r="D31" s="20">
        <v>0.02</v>
      </c>
      <c r="E31" s="22"/>
    </row>
    <row r="32" spans="2:5" ht="34.65" customHeight="1" x14ac:dyDescent="0.25">
      <c r="B32" s="18" t="s">
        <v>195</v>
      </c>
      <c r="C32" s="18" t="s">
        <v>73</v>
      </c>
      <c r="D32" s="20">
        <v>0.03</v>
      </c>
      <c r="E32" s="22"/>
    </row>
    <row r="33" spans="2:5" ht="25.5" customHeight="1" x14ac:dyDescent="0.25">
      <c r="B33" s="18" t="s">
        <v>196</v>
      </c>
      <c r="C33" s="18" t="s">
        <v>73</v>
      </c>
      <c r="D33" s="20">
        <v>0.03</v>
      </c>
      <c r="E33" s="22"/>
    </row>
    <row r="34" spans="2:5" ht="15" customHeight="1" x14ac:dyDescent="0.25">
      <c r="B34" s="18" t="s">
        <v>108</v>
      </c>
      <c r="C34" s="18" t="s">
        <v>73</v>
      </c>
      <c r="D34" s="20">
        <v>0.02</v>
      </c>
      <c r="E34" s="22"/>
    </row>
    <row r="35" spans="2:5" ht="25.5" customHeight="1" x14ac:dyDescent="0.25">
      <c r="B35" s="18" t="s">
        <v>197</v>
      </c>
      <c r="C35" s="18" t="s">
        <v>73</v>
      </c>
      <c r="D35" s="20">
        <v>0.03</v>
      </c>
      <c r="E35" s="22"/>
    </row>
    <row r="36" spans="2:5" ht="15.75" customHeight="1" x14ac:dyDescent="0.25">
      <c r="B36" s="18" t="s">
        <v>198</v>
      </c>
      <c r="C36" s="18" t="s">
        <v>73</v>
      </c>
      <c r="D36" s="20">
        <v>0.03</v>
      </c>
      <c r="E36" s="22"/>
    </row>
    <row r="37" spans="2:5" ht="15" customHeight="1" x14ac:dyDescent="0.25">
      <c r="B37" s="18" t="s">
        <v>102</v>
      </c>
      <c r="C37" s="18" t="s">
        <v>73</v>
      </c>
      <c r="D37" s="20">
        <v>0.02</v>
      </c>
      <c r="E37" s="22"/>
    </row>
    <row r="38" spans="2:5" ht="15" customHeight="1" x14ac:dyDescent="0.25">
      <c r="B38" s="22"/>
      <c r="C38" s="22"/>
      <c r="D38" s="22"/>
      <c r="E38" s="22"/>
    </row>
    <row r="39" spans="2:5" ht="27.6" x14ac:dyDescent="0.25">
      <c r="B39" s="3" t="s">
        <v>199</v>
      </c>
      <c r="C39" s="29">
        <v>10</v>
      </c>
      <c r="D39" s="30" t="s">
        <v>200</v>
      </c>
      <c r="E39" s="22"/>
    </row>
    <row r="40" spans="2:5" ht="15" customHeight="1" x14ac:dyDescent="0.25">
      <c r="B40" s="22"/>
      <c r="C40" s="22"/>
      <c r="D40" s="22"/>
      <c r="E40" s="22"/>
    </row>
    <row r="41" spans="2:5" ht="15" customHeight="1" x14ac:dyDescent="0.25">
      <c r="B41" s="22"/>
      <c r="C41" s="22"/>
      <c r="D41" s="22"/>
      <c r="E41" s="22"/>
    </row>
    <row r="42" spans="2:5" ht="15.75" customHeight="1" x14ac:dyDescent="0.25">
      <c r="B42" s="22"/>
      <c r="C42" s="22"/>
      <c r="D42" s="22"/>
      <c r="E42" s="22"/>
    </row>
    <row r="43" spans="2:5" ht="25.5" customHeight="1" x14ac:dyDescent="0.25">
      <c r="B43" s="22"/>
      <c r="C43" s="22"/>
      <c r="D43" s="22"/>
      <c r="E43" s="22"/>
    </row>
    <row r="44" spans="2:5" ht="15" customHeight="1" x14ac:dyDescent="0.25">
      <c r="B44" s="22"/>
      <c r="C44" s="22"/>
      <c r="D44" s="22"/>
      <c r="E44" s="22"/>
    </row>
    <row r="45" spans="2:5" ht="38.25" customHeight="1" x14ac:dyDescent="0.25">
      <c r="B45" s="22"/>
      <c r="C45" s="22"/>
      <c r="D45" s="22"/>
      <c r="E45" s="22"/>
    </row>
    <row r="46" spans="2:5" ht="15" customHeight="1" x14ac:dyDescent="0.25">
      <c r="B46" s="22"/>
      <c r="C46" s="22"/>
      <c r="D46" s="22"/>
      <c r="E46" s="22"/>
    </row>
    <row r="47" spans="2:5" ht="15" customHeight="1" x14ac:dyDescent="0.25">
      <c r="B47" s="22"/>
      <c r="C47" s="22"/>
      <c r="D47" s="22"/>
      <c r="E47" s="22"/>
    </row>
    <row r="48" spans="2:5" ht="15" customHeight="1" x14ac:dyDescent="0.25">
      <c r="B48" s="22"/>
      <c r="C48" s="22"/>
      <c r="D48" s="22"/>
      <c r="E48" s="22"/>
    </row>
    <row r="49" spans="2:5" ht="146.85" customHeight="1" x14ac:dyDescent="0.25">
      <c r="B49" s="22"/>
      <c r="C49" s="22"/>
      <c r="D49" s="22"/>
      <c r="E49" s="22"/>
    </row>
    <row r="50" spans="2:5" ht="15" customHeight="1" x14ac:dyDescent="0.25">
      <c r="B50" s="22"/>
      <c r="C50" s="22"/>
      <c r="D50" s="22"/>
      <c r="E50" s="22"/>
    </row>
    <row r="51" spans="2:5" ht="15" customHeight="1" x14ac:dyDescent="0.25">
      <c r="B51" s="22"/>
      <c r="C51" s="22"/>
      <c r="D51" s="22"/>
      <c r="E51" s="22"/>
    </row>
    <row r="52" spans="2:5" ht="15" customHeight="1" x14ac:dyDescent="0.25">
      <c r="B52" s="22"/>
      <c r="C52" s="22"/>
      <c r="D52" s="22"/>
      <c r="E52" s="22"/>
    </row>
    <row r="53" spans="2:5" ht="16.8" x14ac:dyDescent="0.25">
      <c r="B53" s="22"/>
      <c r="C53" s="22"/>
      <c r="D53" s="22"/>
      <c r="E53" s="22"/>
    </row>
    <row r="54" spans="2:5" ht="15.75" customHeight="1" x14ac:dyDescent="0.25">
      <c r="B54" s="22"/>
      <c r="C54" s="22"/>
      <c r="D54" s="22"/>
      <c r="E54" s="22"/>
    </row>
  </sheetData>
  <mergeCells count="8">
    <mergeCell ref="B13:C13"/>
    <mergeCell ref="B29:C29"/>
    <mergeCell ref="B1:C1"/>
    <mergeCell ref="B2:D2"/>
    <mergeCell ref="B3:D3"/>
    <mergeCell ref="B4:D4"/>
    <mergeCell ref="B5:D5"/>
    <mergeCell ref="B8:C8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24"/>
  <sheetViews>
    <sheetView showGridLines="0" zoomScaleNormal="100" workbookViewId="0">
      <selection activeCell="B15" sqref="B15"/>
    </sheetView>
  </sheetViews>
  <sheetFormatPr defaultRowHeight="33.75" customHeight="1" x14ac:dyDescent="0.3"/>
  <cols>
    <col min="1" max="1" width="36.44140625" style="47" bestFit="1" customWidth="1"/>
    <col min="2" max="2" width="118.5546875" style="47" customWidth="1"/>
    <col min="3" max="3" width="15.44140625" style="56" customWidth="1"/>
    <col min="4" max="4" width="10.88671875" style="50" bestFit="1" customWidth="1"/>
    <col min="5" max="5" width="6.5546875" style="47" hidden="1" customWidth="1"/>
    <col min="6" max="6" width="10.88671875" style="47" customWidth="1"/>
    <col min="7" max="7" width="12.5546875" style="47" customWidth="1"/>
    <col min="8" max="8" width="12.88671875" style="47" customWidth="1"/>
    <col min="9" max="9" width="9.109375" style="47"/>
    <col min="10" max="10" width="11.5546875" style="47" customWidth="1"/>
    <col min="11" max="11" width="10.44140625" style="47" customWidth="1"/>
    <col min="12" max="12" width="9.109375" style="47"/>
    <col min="13" max="13" width="13.44140625" style="47" customWidth="1"/>
    <col min="14" max="14" width="10.88671875" style="47" customWidth="1"/>
    <col min="15" max="15" width="12.109375" style="47" customWidth="1"/>
    <col min="16" max="17" width="9.109375" style="47"/>
  </cols>
  <sheetData>
    <row r="1" spans="1:25" ht="33.75" customHeight="1" x14ac:dyDescent="0.3">
      <c r="B1" s="449" t="s">
        <v>201</v>
      </c>
      <c r="C1" s="450"/>
      <c r="D1" s="47"/>
    </row>
    <row r="2" spans="1:25" ht="15.6" x14ac:dyDescent="0.3">
      <c r="B2" s="53" t="s">
        <v>14</v>
      </c>
      <c r="C2" s="53"/>
      <c r="D2" s="47"/>
    </row>
    <row r="3" spans="1:25" ht="15.6" x14ac:dyDescent="0.3">
      <c r="B3" s="53" t="s">
        <v>113</v>
      </c>
      <c r="C3" s="53"/>
      <c r="D3" s="47"/>
    </row>
    <row r="4" spans="1:25" ht="15.6" x14ac:dyDescent="0.3">
      <c r="B4" s="53" t="s">
        <v>114</v>
      </c>
      <c r="C4" s="53"/>
      <c r="D4" s="47"/>
    </row>
    <row r="5" spans="1:25" ht="15.6" x14ac:dyDescent="0.3">
      <c r="B5" s="53" t="s">
        <v>115</v>
      </c>
      <c r="C5" s="53"/>
      <c r="D5" s="47"/>
    </row>
    <row r="6" spans="1:25" ht="15.6" x14ac:dyDescent="0.3">
      <c r="B6" s="53" t="s">
        <v>116</v>
      </c>
      <c r="C6" s="53"/>
      <c r="D6" s="47"/>
    </row>
    <row r="7" spans="1:25" ht="33.75" customHeight="1" x14ac:dyDescent="0.3">
      <c r="B7" s="102"/>
      <c r="C7" s="76"/>
      <c r="D7" s="79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1"/>
      <c r="S7" s="1"/>
      <c r="T7" s="1"/>
      <c r="U7" s="1"/>
      <c r="V7" s="1"/>
      <c r="W7" s="1"/>
      <c r="X7" s="1"/>
      <c r="Y7" s="1"/>
    </row>
    <row r="8" spans="1:25" ht="31.5" customHeight="1" x14ac:dyDescent="0.3">
      <c r="B8" s="58" t="s">
        <v>118</v>
      </c>
      <c r="C8" s="58"/>
      <c r="D8" s="74">
        <v>0.5</v>
      </c>
      <c r="E8" s="49">
        <f>SUM(D9:D14)</f>
        <v>1</v>
      </c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1"/>
      <c r="S8" s="1"/>
      <c r="T8" s="1"/>
      <c r="U8" s="1"/>
      <c r="V8" s="1"/>
      <c r="W8" s="1"/>
      <c r="X8" s="1"/>
      <c r="Y8" s="1"/>
    </row>
    <row r="9" spans="1:25" ht="15.6" x14ac:dyDescent="0.3">
      <c r="B9" s="52" t="s">
        <v>202</v>
      </c>
      <c r="C9" s="55" t="s">
        <v>20</v>
      </c>
      <c r="D9" s="57">
        <v>0.2</v>
      </c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1"/>
      <c r="S9" s="1"/>
      <c r="T9" s="1"/>
      <c r="U9" s="1"/>
      <c r="V9" s="1"/>
      <c r="W9" s="1"/>
      <c r="X9" s="1"/>
      <c r="Y9" s="1"/>
    </row>
    <row r="10" spans="1:25" ht="15.6" x14ac:dyDescent="0.3">
      <c r="B10" s="52" t="s">
        <v>203</v>
      </c>
      <c r="C10" s="55" t="s">
        <v>20</v>
      </c>
      <c r="D10" s="57">
        <v>0.2</v>
      </c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1"/>
      <c r="S10" s="1"/>
      <c r="T10" s="1"/>
      <c r="U10" s="1"/>
      <c r="V10" s="1"/>
      <c r="W10" s="1"/>
      <c r="X10" s="1"/>
      <c r="Y10" s="1"/>
    </row>
    <row r="11" spans="1:25" ht="15.6" x14ac:dyDescent="0.3">
      <c r="B11" s="52" t="s">
        <v>204</v>
      </c>
      <c r="C11" s="55" t="s">
        <v>20</v>
      </c>
      <c r="D11" s="57">
        <v>0.2</v>
      </c>
    </row>
    <row r="12" spans="1:25" ht="15.6" x14ac:dyDescent="0.3">
      <c r="B12" s="52" t="s">
        <v>205</v>
      </c>
      <c r="C12" s="55" t="s">
        <v>20</v>
      </c>
      <c r="D12" s="57">
        <v>0.2</v>
      </c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1"/>
      <c r="S12" s="1"/>
      <c r="T12" s="1"/>
      <c r="U12" s="1"/>
      <c r="V12" s="1"/>
      <c r="W12" s="1"/>
      <c r="X12" s="1"/>
      <c r="Y12" s="1"/>
    </row>
    <row r="13" spans="1:25" ht="15.6" x14ac:dyDescent="0.3">
      <c r="B13" s="52" t="s">
        <v>206</v>
      </c>
      <c r="C13" s="55" t="s">
        <v>20</v>
      </c>
      <c r="D13" s="57">
        <v>0.1</v>
      </c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1"/>
      <c r="S13" s="1"/>
      <c r="T13" s="1"/>
      <c r="U13" s="1"/>
      <c r="V13" s="1"/>
      <c r="W13" s="1"/>
      <c r="X13" s="1"/>
      <c r="Y13" s="1"/>
    </row>
    <row r="14" spans="1:25" ht="15.6" x14ac:dyDescent="0.3">
      <c r="B14" s="52" t="s">
        <v>207</v>
      </c>
      <c r="C14" s="55" t="s">
        <v>20</v>
      </c>
      <c r="D14" s="57">
        <v>0.1</v>
      </c>
    </row>
    <row r="15" spans="1:25" ht="33.75" customHeight="1" x14ac:dyDescent="0.3">
      <c r="B15" s="102"/>
      <c r="C15" s="76"/>
      <c r="D15" s="59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1"/>
      <c r="S15" s="1"/>
      <c r="T15" s="1"/>
      <c r="U15" s="1"/>
      <c r="V15" s="1"/>
      <c r="W15" s="1"/>
      <c r="X15" s="1"/>
      <c r="Y15" s="1"/>
    </row>
    <row r="16" spans="1:25" s="6" customFormat="1" ht="33.75" customHeight="1" x14ac:dyDescent="0.3">
      <c r="A16" s="47"/>
      <c r="B16" s="58" t="s">
        <v>208</v>
      </c>
      <c r="C16" s="61"/>
      <c r="D16" s="74">
        <v>0.5</v>
      </c>
      <c r="E16" s="49">
        <f>SUM(D17:D20)</f>
        <v>1</v>
      </c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7"/>
      <c r="S16" s="7"/>
      <c r="T16" s="7"/>
      <c r="U16" s="7"/>
      <c r="V16" s="7"/>
      <c r="W16" s="7"/>
      <c r="X16" s="7"/>
      <c r="Y16" s="7"/>
    </row>
    <row r="17" spans="1:25" s="6" customFormat="1" ht="15.6" x14ac:dyDescent="0.3">
      <c r="A17" s="47"/>
      <c r="B17" s="52" t="s">
        <v>209</v>
      </c>
      <c r="C17" s="55" t="s">
        <v>20</v>
      </c>
      <c r="D17" s="57">
        <v>0.25</v>
      </c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7"/>
      <c r="S17" s="7"/>
      <c r="T17" s="7"/>
      <c r="U17" s="7"/>
      <c r="V17" s="7"/>
      <c r="W17" s="7"/>
      <c r="X17" s="7"/>
      <c r="Y17" s="7"/>
    </row>
    <row r="18" spans="1:25" s="6" customFormat="1" ht="15.6" x14ac:dyDescent="0.3">
      <c r="A18" s="47"/>
      <c r="B18" s="52" t="s">
        <v>210</v>
      </c>
      <c r="C18" s="55" t="s">
        <v>20</v>
      </c>
      <c r="D18" s="57">
        <v>0.25</v>
      </c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7"/>
      <c r="S18" s="7"/>
      <c r="T18" s="7"/>
      <c r="U18" s="7"/>
      <c r="V18" s="7"/>
      <c r="W18" s="7"/>
      <c r="X18" s="7"/>
      <c r="Y18" s="7"/>
    </row>
    <row r="19" spans="1:25" s="6" customFormat="1" ht="15.6" x14ac:dyDescent="0.3">
      <c r="A19" s="47"/>
      <c r="B19" s="52" t="s">
        <v>211</v>
      </c>
      <c r="C19" s="55" t="s">
        <v>20</v>
      </c>
      <c r="D19" s="57">
        <v>0.25</v>
      </c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7"/>
      <c r="S19" s="7"/>
      <c r="T19" s="7"/>
      <c r="U19" s="7"/>
      <c r="V19" s="7"/>
      <c r="W19" s="7"/>
      <c r="X19" s="7"/>
      <c r="Y19" s="7"/>
    </row>
    <row r="20" spans="1:25" s="6" customFormat="1" ht="15.6" x14ac:dyDescent="0.3">
      <c r="A20" s="103" t="s">
        <v>148</v>
      </c>
      <c r="B20" s="52" t="s">
        <v>212</v>
      </c>
      <c r="C20" s="55" t="s">
        <v>20</v>
      </c>
      <c r="D20" s="57">
        <v>0.25</v>
      </c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7"/>
      <c r="S20" s="7"/>
      <c r="T20" s="7"/>
      <c r="U20" s="7"/>
      <c r="V20" s="7"/>
      <c r="W20" s="7"/>
      <c r="X20" s="7"/>
      <c r="Y20" s="7"/>
    </row>
    <row r="21" spans="1:25" ht="33.75" customHeight="1" x14ac:dyDescent="0.3">
      <c r="B21" s="102"/>
      <c r="D21" s="59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1"/>
      <c r="S21" s="1"/>
      <c r="T21" s="1"/>
      <c r="U21" s="1"/>
      <c r="V21" s="1"/>
      <c r="W21" s="1"/>
      <c r="X21" s="1"/>
      <c r="Y21" s="1"/>
    </row>
    <row r="22" spans="1:25" ht="18" x14ac:dyDescent="0.3">
      <c r="B22" s="60" t="s">
        <v>58</v>
      </c>
      <c r="C22" s="61"/>
      <c r="D22" s="59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1"/>
      <c r="S22" s="1"/>
      <c r="T22" s="1"/>
      <c r="U22" s="1"/>
      <c r="V22" s="1"/>
      <c r="W22" s="1"/>
      <c r="X22" s="1"/>
      <c r="Y22" s="1"/>
    </row>
    <row r="23" spans="1:25" ht="31.2" x14ac:dyDescent="0.3">
      <c r="B23" s="52" t="s">
        <v>213</v>
      </c>
      <c r="C23" s="55">
        <v>0</v>
      </c>
      <c r="D23" s="59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1"/>
      <c r="S23" s="1"/>
      <c r="T23" s="1"/>
      <c r="U23" s="1"/>
      <c r="V23" s="1"/>
      <c r="W23" s="1"/>
      <c r="X23" s="1"/>
      <c r="Y23" s="1"/>
    </row>
    <row r="24" spans="1:25" ht="15.6" x14ac:dyDescent="0.3">
      <c r="B24" s="52" t="s">
        <v>60</v>
      </c>
      <c r="C24" s="55"/>
    </row>
  </sheetData>
  <mergeCells count="1">
    <mergeCell ref="B1:C1"/>
  </mergeCells>
  <dataValidations count="2">
    <dataValidation type="list" allowBlank="1" showInputMessage="1" showErrorMessage="1" sqref="E6" xr:uid="{00000000-0002-0000-0700-000000000000}">
      <formula1>"Արական, Իգական"</formula1>
    </dataValidation>
    <dataValidation type="list" allowBlank="1" showInputMessage="1" showErrorMessage="1" sqref="C23" xr:uid="{00000000-0002-0000-0700-000001000000}">
      <formula1>"0, 1, 2, 3, 4, 5, 6, 7, 9, 10"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2000000}">
          <x14:formula1>
            <xm:f>mapping!$A$2:$A$3</xm:f>
          </x14:formula1>
          <xm:sqref>C9:C15 C17:C20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34"/>
  <sheetViews>
    <sheetView showGridLines="0" zoomScaleNormal="100" workbookViewId="0">
      <selection activeCell="A16" sqref="A16"/>
    </sheetView>
  </sheetViews>
  <sheetFormatPr defaultColWidth="9.109375" defaultRowHeight="14.4" x14ac:dyDescent="0.3"/>
  <cols>
    <col min="1" max="1" width="32.44140625" style="47" customWidth="1"/>
    <col min="2" max="2" width="100.44140625" style="47" customWidth="1"/>
    <col min="3" max="3" width="16.5546875" style="56" customWidth="1"/>
    <col min="4" max="4" width="12.5546875" style="106" customWidth="1"/>
    <col min="5" max="5" width="5.5546875" style="47" hidden="1" customWidth="1"/>
    <col min="6" max="14" width="9.109375" style="47"/>
    <col min="15" max="16384" width="9.109375" style="17"/>
  </cols>
  <sheetData>
    <row r="1" spans="1:5" ht="43.5" customHeight="1" x14ac:dyDescent="0.3">
      <c r="B1" s="451" t="s">
        <v>214</v>
      </c>
      <c r="C1" s="451"/>
      <c r="D1" s="47"/>
    </row>
    <row r="2" spans="1:5" ht="16.5" customHeight="1" x14ac:dyDescent="0.3">
      <c r="B2" s="53" t="s">
        <v>14</v>
      </c>
      <c r="C2" s="53"/>
      <c r="D2" s="104"/>
      <c r="E2" s="105"/>
    </row>
    <row r="3" spans="1:5" ht="15.6" x14ac:dyDescent="0.3">
      <c r="B3" s="53" t="s">
        <v>15</v>
      </c>
      <c r="C3" s="53"/>
      <c r="D3" s="102"/>
    </row>
    <row r="4" spans="1:5" ht="15.6" x14ac:dyDescent="0.3">
      <c r="B4" s="53" t="s">
        <v>16</v>
      </c>
      <c r="C4" s="53"/>
      <c r="D4" s="102"/>
    </row>
    <row r="5" spans="1:5" ht="15.6" x14ac:dyDescent="0.3">
      <c r="B5" s="53" t="s">
        <v>215</v>
      </c>
      <c r="C5" s="53"/>
      <c r="D5" s="102"/>
    </row>
    <row r="7" spans="1:5" ht="32.85" customHeight="1" x14ac:dyDescent="0.3">
      <c r="B7" s="60" t="s">
        <v>216</v>
      </c>
      <c r="C7" s="60"/>
      <c r="D7" s="74">
        <v>0.4</v>
      </c>
      <c r="E7" s="101">
        <f>SUM(D8:D12)</f>
        <v>1</v>
      </c>
    </row>
    <row r="8" spans="1:5" ht="15.6" x14ac:dyDescent="0.3">
      <c r="B8" s="52" t="s">
        <v>217</v>
      </c>
      <c r="C8" s="55" t="s">
        <v>20</v>
      </c>
      <c r="D8" s="57">
        <v>0.25</v>
      </c>
    </row>
    <row r="9" spans="1:5" ht="31.2" x14ac:dyDescent="0.3">
      <c r="B9" s="52" t="s">
        <v>218</v>
      </c>
      <c r="C9" s="55" t="s">
        <v>20</v>
      </c>
      <c r="D9" s="57">
        <v>0.25</v>
      </c>
    </row>
    <row r="10" spans="1:5" ht="31.2" x14ac:dyDescent="0.3">
      <c r="B10" s="52" t="s">
        <v>219</v>
      </c>
      <c r="C10" s="55" t="s">
        <v>20</v>
      </c>
      <c r="D10" s="57">
        <v>0.25</v>
      </c>
    </row>
    <row r="11" spans="1:5" ht="46.8" x14ac:dyDescent="0.3">
      <c r="A11" s="100" t="s">
        <v>220</v>
      </c>
      <c r="B11" s="52" t="s">
        <v>24</v>
      </c>
      <c r="C11" s="55" t="s">
        <v>25</v>
      </c>
      <c r="D11" s="107"/>
    </row>
    <row r="12" spans="1:5" ht="15.6" x14ac:dyDescent="0.3">
      <c r="B12" s="52" t="s">
        <v>221</v>
      </c>
      <c r="C12" s="55" t="s">
        <v>20</v>
      </c>
      <c r="D12" s="57">
        <v>0.25</v>
      </c>
    </row>
    <row r="13" spans="1:5" ht="33.75" customHeight="1" x14ac:dyDescent="0.3">
      <c r="B13" s="108"/>
      <c r="C13" s="109"/>
    </row>
    <row r="14" spans="1:5" ht="33.75" customHeight="1" x14ac:dyDescent="0.3">
      <c r="B14" s="60" t="s">
        <v>222</v>
      </c>
      <c r="C14" s="60"/>
      <c r="D14" s="74">
        <v>0.6</v>
      </c>
      <c r="E14" s="101">
        <f>SUM(D15:D18)</f>
        <v>1</v>
      </c>
    </row>
    <row r="15" spans="1:5" ht="15.6" x14ac:dyDescent="0.3">
      <c r="B15" s="52" t="s">
        <v>223</v>
      </c>
      <c r="C15" s="55" t="s">
        <v>20</v>
      </c>
      <c r="D15" s="51">
        <v>0.25</v>
      </c>
    </row>
    <row r="16" spans="1:5" ht="31.2" x14ac:dyDescent="0.3">
      <c r="B16" s="52" t="s">
        <v>224</v>
      </c>
      <c r="C16" s="55" t="s">
        <v>20</v>
      </c>
      <c r="D16" s="51">
        <v>0.25</v>
      </c>
    </row>
    <row r="17" spans="1:4" ht="46.8" x14ac:dyDescent="0.3">
      <c r="A17" s="52" t="s">
        <v>225</v>
      </c>
      <c r="B17" s="52" t="s">
        <v>226</v>
      </c>
      <c r="C17" s="55" t="s">
        <v>20</v>
      </c>
      <c r="D17" s="51">
        <v>0.25</v>
      </c>
    </row>
    <row r="18" spans="1:4" ht="15.6" x14ac:dyDescent="0.3">
      <c r="B18" s="52" t="s">
        <v>227</v>
      </c>
      <c r="C18" s="55" t="s">
        <v>20</v>
      </c>
      <c r="D18" s="51">
        <v>0.25</v>
      </c>
    </row>
    <row r="19" spans="1:4" ht="17.399999999999999" x14ac:dyDescent="0.3">
      <c r="B19" s="48"/>
      <c r="C19" s="78"/>
      <c r="D19" s="110"/>
    </row>
    <row r="20" spans="1:4" ht="28.5" customHeight="1" x14ac:dyDescent="0.3">
      <c r="B20" s="60" t="s">
        <v>228</v>
      </c>
      <c r="C20" s="61"/>
      <c r="D20" s="110"/>
    </row>
    <row r="21" spans="1:4" ht="31.2" x14ac:dyDescent="0.3">
      <c r="B21" s="52" t="s">
        <v>229</v>
      </c>
      <c r="C21" s="55">
        <v>10</v>
      </c>
      <c r="D21" s="110"/>
    </row>
    <row r="22" spans="1:4" ht="25.5" customHeight="1" x14ac:dyDescent="0.3">
      <c r="B22" s="110"/>
      <c r="C22" s="111"/>
      <c r="D22" s="110"/>
    </row>
    <row r="23" spans="1:4" ht="15" customHeight="1" x14ac:dyDescent="0.3">
      <c r="B23" s="110"/>
      <c r="C23" s="111"/>
      <c r="D23" s="110"/>
    </row>
    <row r="24" spans="1:4" ht="38.25" customHeight="1" x14ac:dyDescent="0.3">
      <c r="B24" s="110"/>
      <c r="C24" s="111"/>
      <c r="D24" s="110"/>
    </row>
    <row r="25" spans="1:4" ht="15" customHeight="1" x14ac:dyDescent="0.3">
      <c r="B25" s="110"/>
      <c r="C25" s="111"/>
      <c r="D25" s="110"/>
    </row>
    <row r="26" spans="1:4" ht="15" customHeight="1" x14ac:dyDescent="0.3">
      <c r="B26" s="110"/>
      <c r="C26" s="111"/>
      <c r="D26" s="110"/>
    </row>
    <row r="27" spans="1:4" ht="15" customHeight="1" x14ac:dyDescent="0.3">
      <c r="B27" s="110"/>
      <c r="C27" s="111"/>
      <c r="D27" s="110"/>
    </row>
    <row r="28" spans="1:4" ht="146.85" customHeight="1" x14ac:dyDescent="0.3">
      <c r="B28" s="110"/>
      <c r="C28" s="111"/>
      <c r="D28" s="110"/>
    </row>
    <row r="29" spans="1:4" ht="15" customHeight="1" x14ac:dyDescent="0.3">
      <c r="B29" s="110"/>
      <c r="C29" s="111"/>
      <c r="D29" s="110"/>
    </row>
    <row r="30" spans="1:4" ht="15" customHeight="1" x14ac:dyDescent="0.3">
      <c r="B30" s="110"/>
      <c r="C30" s="111"/>
      <c r="D30" s="110"/>
    </row>
    <row r="31" spans="1:4" ht="15" customHeight="1" x14ac:dyDescent="0.3">
      <c r="B31" s="110"/>
      <c r="C31" s="111"/>
      <c r="D31" s="110"/>
    </row>
    <row r="32" spans="1:4" ht="17.399999999999999" x14ac:dyDescent="0.3">
      <c r="B32" s="110"/>
      <c r="C32" s="111"/>
      <c r="D32" s="110"/>
    </row>
    <row r="33" spans="2:4" ht="15.75" customHeight="1" x14ac:dyDescent="0.3">
      <c r="B33" s="110"/>
      <c r="C33" s="111"/>
      <c r="D33" s="110"/>
    </row>
    <row r="34" spans="2:4" ht="17.399999999999999" x14ac:dyDescent="0.3">
      <c r="B34" s="110"/>
      <c r="C34" s="111"/>
    </row>
  </sheetData>
  <mergeCells count="1">
    <mergeCell ref="B1:C1"/>
  </mergeCells>
  <dataValidations count="2">
    <dataValidation type="list" allowBlank="1" showInputMessage="1" showErrorMessage="1" sqref="C11" xr:uid="{00000000-0002-0000-0900-000000000000}">
      <formula1>"Չի ստուգել, Անձնագրով, ID քարտով, Վարորդական իրավունքով"</formula1>
    </dataValidation>
    <dataValidation type="list" allowBlank="1" showInputMessage="1" showErrorMessage="1" sqref="C21" xr:uid="{00000000-0002-0000-0900-000001000000}">
      <formula1>"0, 1, 2, 3, 4, 5, 6, 7, 9, 10"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2000000}">
          <x14:formula1>
            <xm:f>mapping!$A$2:$A$3</xm:f>
          </x14:formula1>
          <xm:sqref>C8:C10 C12 C15:C18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55"/>
  <sheetViews>
    <sheetView showGridLines="0" topLeftCell="A10" zoomScale="90" zoomScaleNormal="90" workbookViewId="0">
      <selection activeCell="B6" sqref="B6"/>
    </sheetView>
  </sheetViews>
  <sheetFormatPr defaultColWidth="9" defaultRowHeight="33.75" customHeight="1" x14ac:dyDescent="0.3"/>
  <cols>
    <col min="2" max="2" width="40.88671875" style="98" customWidth="1"/>
    <col min="3" max="3" width="132.5546875" style="47" customWidth="1"/>
    <col min="4" max="4" width="13.44140625" style="56" bestFit="1" customWidth="1"/>
    <col min="5" max="5" width="11.44140625" style="50" customWidth="1"/>
    <col min="6" max="6" width="5.5546875" style="47" bestFit="1" customWidth="1"/>
    <col min="7" max="14" width="9" style="47"/>
    <col min="15" max="16384" width="9" style="6"/>
  </cols>
  <sheetData>
    <row r="1" spans="1:25" ht="35.25" customHeight="1" x14ac:dyDescent="0.3">
      <c r="C1" s="125" t="s">
        <v>230</v>
      </c>
      <c r="D1" s="80"/>
      <c r="E1" s="48"/>
      <c r="F1" s="48"/>
      <c r="G1" s="48"/>
      <c r="H1" s="48"/>
      <c r="I1" s="48"/>
      <c r="J1" s="48"/>
    </row>
    <row r="2" spans="1:25" ht="15.6" x14ac:dyDescent="0.3">
      <c r="C2" s="73" t="s">
        <v>14</v>
      </c>
      <c r="D2" s="54"/>
      <c r="E2" s="48"/>
      <c r="F2" s="48"/>
      <c r="G2" s="48"/>
      <c r="H2" s="48"/>
      <c r="I2" s="48"/>
      <c r="J2" s="48"/>
    </row>
    <row r="3" spans="1:25" ht="15.6" x14ac:dyDescent="0.3">
      <c r="C3" s="73" t="s">
        <v>231</v>
      </c>
      <c r="D3" s="54"/>
      <c r="E3" s="48"/>
      <c r="F3" s="48"/>
      <c r="G3" s="48"/>
      <c r="H3" s="48"/>
      <c r="I3" s="48"/>
      <c r="J3" s="48"/>
    </row>
    <row r="4" spans="1:25" ht="15.6" x14ac:dyDescent="0.3">
      <c r="C4" s="73" t="s">
        <v>15</v>
      </c>
      <c r="D4" s="54"/>
      <c r="E4" s="48"/>
      <c r="F4" s="48"/>
      <c r="G4" s="48"/>
      <c r="H4" s="48"/>
      <c r="I4" s="48"/>
      <c r="J4" s="48"/>
    </row>
    <row r="5" spans="1:25" ht="15.6" x14ac:dyDescent="0.3">
      <c r="C5" s="73" t="s">
        <v>16</v>
      </c>
      <c r="D5" s="54"/>
      <c r="E5" s="48"/>
      <c r="F5" s="48"/>
      <c r="G5" s="48"/>
      <c r="H5" s="48"/>
      <c r="I5" s="48"/>
      <c r="J5" s="48"/>
    </row>
    <row r="6" spans="1:25" ht="33.75" customHeight="1" x14ac:dyDescent="0.3">
      <c r="A6" s="6"/>
      <c r="D6" s="47"/>
      <c r="E6" s="47"/>
    </row>
    <row r="7" spans="1:25" ht="33.75" customHeight="1" x14ac:dyDescent="0.3">
      <c r="C7" s="60" t="s">
        <v>17</v>
      </c>
      <c r="D7" s="72"/>
      <c r="E7" s="74">
        <v>0.2</v>
      </c>
      <c r="F7" s="48"/>
      <c r="G7" s="48"/>
      <c r="H7" s="48"/>
      <c r="I7" s="48"/>
      <c r="J7" s="48"/>
    </row>
    <row r="8" spans="1:25" ht="31.2" x14ac:dyDescent="0.3">
      <c r="B8" s="452" t="s">
        <v>18</v>
      </c>
      <c r="C8" s="52" t="s">
        <v>232</v>
      </c>
      <c r="D8" s="55" t="s">
        <v>20</v>
      </c>
      <c r="E8" s="51">
        <v>0.5</v>
      </c>
      <c r="F8" s="48"/>
      <c r="G8" s="48"/>
      <c r="H8" s="48"/>
      <c r="I8" s="48"/>
      <c r="J8" s="48"/>
    </row>
    <row r="9" spans="1:25" ht="15.6" x14ac:dyDescent="0.3">
      <c r="B9" s="452"/>
      <c r="C9" s="52" t="s">
        <v>233</v>
      </c>
      <c r="D9" s="55" t="s">
        <v>20</v>
      </c>
      <c r="E9" s="51">
        <v>0.5</v>
      </c>
      <c r="F9" s="48"/>
      <c r="G9" s="48"/>
      <c r="H9" s="48"/>
      <c r="I9" s="48"/>
      <c r="J9" s="48"/>
    </row>
    <row r="10" spans="1:25" ht="33.75" customHeight="1" x14ac:dyDescent="0.3">
      <c r="B10" s="99"/>
      <c r="C10" s="48"/>
      <c r="D10" s="78"/>
      <c r="E10" s="79"/>
      <c r="F10" s="48"/>
      <c r="G10" s="48"/>
      <c r="H10" s="48"/>
      <c r="I10" s="48"/>
      <c r="J10" s="48"/>
    </row>
    <row r="11" spans="1:25" ht="33.75" customHeight="1" x14ac:dyDescent="0.3">
      <c r="B11" s="99"/>
      <c r="C11" s="60" t="s">
        <v>26</v>
      </c>
      <c r="D11" s="61"/>
      <c r="E11" s="74">
        <v>0.5</v>
      </c>
      <c r="F11" s="49">
        <f>SUM(E12:E31)</f>
        <v>1</v>
      </c>
      <c r="G11" s="48"/>
      <c r="H11" s="48"/>
      <c r="I11" s="48"/>
      <c r="J11" s="48"/>
    </row>
    <row r="12" spans="1:25" ht="15.6" customHeight="1" x14ac:dyDescent="0.3">
      <c r="A12" s="460" t="s">
        <v>234</v>
      </c>
      <c r="B12" s="456" t="s">
        <v>235</v>
      </c>
      <c r="C12" s="121" t="s">
        <v>125</v>
      </c>
      <c r="D12" s="433" t="s">
        <v>236</v>
      </c>
      <c r="E12" s="436">
        <v>0.6</v>
      </c>
      <c r="F12" s="48"/>
      <c r="G12" s="48"/>
      <c r="H12" s="48"/>
      <c r="I12" s="48"/>
      <c r="J12" s="48"/>
      <c r="K12" s="48"/>
      <c r="L12" s="48"/>
      <c r="M12" s="48"/>
      <c r="N12" s="48"/>
      <c r="O12" s="7"/>
      <c r="P12" s="7"/>
      <c r="Q12" s="7"/>
      <c r="R12" s="7"/>
      <c r="S12" s="7"/>
      <c r="T12" s="7"/>
    </row>
    <row r="13" spans="1:25" ht="15.6" x14ac:dyDescent="0.3">
      <c r="A13" s="460"/>
      <c r="B13" s="456"/>
      <c r="C13" s="121" t="s">
        <v>126</v>
      </c>
      <c r="D13" s="434"/>
      <c r="E13" s="437"/>
      <c r="F13" s="48"/>
      <c r="G13" s="48"/>
      <c r="H13" s="48"/>
      <c r="I13" s="48"/>
      <c r="J13" s="48"/>
      <c r="K13" s="48"/>
      <c r="L13" s="48"/>
      <c r="M13" s="48"/>
      <c r="N13" s="48"/>
      <c r="O13" s="7"/>
      <c r="P13" s="7"/>
      <c r="Q13" s="7"/>
      <c r="R13" s="7"/>
      <c r="S13" s="7"/>
      <c r="T13" s="7"/>
    </row>
    <row r="14" spans="1:25" ht="31.2" x14ac:dyDescent="0.3">
      <c r="A14" s="460"/>
      <c r="B14" s="456"/>
      <c r="C14" s="62" t="s">
        <v>127</v>
      </c>
      <c r="D14" s="434"/>
      <c r="E14" s="437"/>
      <c r="F14" s="48"/>
      <c r="G14" s="48"/>
      <c r="H14" s="48"/>
      <c r="I14" s="48"/>
      <c r="J14" s="48"/>
      <c r="K14" s="48"/>
      <c r="L14" s="48"/>
      <c r="M14" s="48"/>
      <c r="N14" s="48"/>
      <c r="O14" s="7"/>
      <c r="P14" s="7"/>
      <c r="Q14" s="7"/>
      <c r="R14" s="7"/>
      <c r="S14" s="7"/>
      <c r="T14" s="7"/>
    </row>
    <row r="15" spans="1:25" customFormat="1" ht="21" x14ac:dyDescent="0.3">
      <c r="A15" s="460"/>
      <c r="B15" s="126" t="s">
        <v>128</v>
      </c>
      <c r="C15" s="121" t="s">
        <v>129</v>
      </c>
      <c r="D15" s="434"/>
      <c r="E15" s="437"/>
      <c r="F15" s="48"/>
      <c r="G15" s="48"/>
      <c r="H15" s="48"/>
      <c r="I15" s="48"/>
      <c r="J15" s="48"/>
      <c r="K15" s="48"/>
      <c r="L15" s="48"/>
      <c r="M15" s="48"/>
      <c r="N15" s="48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6" customHeight="1" x14ac:dyDescent="0.3">
      <c r="A16" s="460"/>
      <c r="B16" s="453" t="s">
        <v>30</v>
      </c>
      <c r="C16" s="121" t="s">
        <v>131</v>
      </c>
      <c r="D16" s="434"/>
      <c r="E16" s="437"/>
      <c r="F16" s="48"/>
      <c r="G16" s="48"/>
      <c r="H16" s="48"/>
      <c r="I16" s="48"/>
      <c r="J16" s="48"/>
      <c r="K16" s="48"/>
      <c r="L16" s="48"/>
      <c r="M16" s="48"/>
      <c r="N16" s="48"/>
      <c r="O16" s="7"/>
      <c r="P16" s="7"/>
      <c r="Q16" s="7"/>
      <c r="R16" s="7"/>
      <c r="S16" s="7"/>
      <c r="T16" s="7"/>
    </row>
    <row r="17" spans="1:20" ht="15.6" x14ac:dyDescent="0.3">
      <c r="A17" s="460"/>
      <c r="B17" s="455"/>
      <c r="C17" s="52" t="s">
        <v>132</v>
      </c>
      <c r="D17" s="434"/>
      <c r="E17" s="437"/>
      <c r="F17" s="48"/>
      <c r="G17" s="48"/>
      <c r="H17" s="48"/>
      <c r="I17" s="48"/>
      <c r="J17" s="48"/>
      <c r="K17" s="48"/>
      <c r="L17" s="48"/>
      <c r="M17" s="48"/>
      <c r="N17" s="48"/>
      <c r="O17" s="7"/>
      <c r="P17" s="7"/>
      <c r="Q17" s="7"/>
      <c r="R17" s="7"/>
      <c r="S17" s="7"/>
      <c r="T17" s="7"/>
    </row>
    <row r="18" spans="1:20" ht="15.6" x14ac:dyDescent="0.3">
      <c r="A18" s="460"/>
      <c r="B18" s="453" t="s">
        <v>32</v>
      </c>
      <c r="C18" s="52" t="s">
        <v>134</v>
      </c>
      <c r="D18" s="434"/>
      <c r="E18" s="437"/>
      <c r="F18" s="48"/>
      <c r="G18" s="48"/>
      <c r="H18" s="48"/>
      <c r="I18" s="48"/>
      <c r="J18" s="48"/>
      <c r="K18" s="48"/>
      <c r="L18" s="48"/>
      <c r="M18" s="48"/>
      <c r="N18" s="48"/>
      <c r="O18" s="7"/>
      <c r="P18" s="7"/>
      <c r="Q18" s="7"/>
      <c r="R18" s="7"/>
      <c r="S18" s="7"/>
      <c r="T18" s="7"/>
    </row>
    <row r="19" spans="1:20" ht="15.6" x14ac:dyDescent="0.3">
      <c r="A19" s="460"/>
      <c r="B19" s="454"/>
      <c r="C19" s="52" t="s">
        <v>135</v>
      </c>
      <c r="D19" s="434"/>
      <c r="E19" s="437"/>
      <c r="F19" s="48"/>
      <c r="G19" s="48"/>
      <c r="H19" s="48"/>
      <c r="I19" s="48"/>
      <c r="J19" s="48"/>
      <c r="K19" s="48"/>
      <c r="L19" s="48"/>
      <c r="M19" s="48"/>
      <c r="N19" s="48"/>
      <c r="O19" s="7"/>
      <c r="P19" s="7"/>
      <c r="Q19" s="7"/>
      <c r="R19" s="7"/>
      <c r="S19" s="7"/>
      <c r="T19" s="7"/>
    </row>
    <row r="20" spans="1:20" ht="15.6" x14ac:dyDescent="0.3">
      <c r="A20" s="460"/>
      <c r="B20" s="455"/>
      <c r="C20" s="64" t="s">
        <v>136</v>
      </c>
      <c r="D20" s="434"/>
      <c r="E20" s="437"/>
      <c r="F20" s="48"/>
      <c r="G20" s="48"/>
      <c r="H20" s="48"/>
      <c r="I20" s="48"/>
      <c r="J20" s="48"/>
      <c r="K20" s="48"/>
      <c r="L20" s="48"/>
      <c r="M20" s="48"/>
      <c r="N20" s="48"/>
      <c r="O20" s="7"/>
      <c r="P20" s="7"/>
      <c r="Q20" s="7"/>
      <c r="R20" s="7"/>
      <c r="S20" s="7"/>
      <c r="T20" s="7"/>
    </row>
    <row r="21" spans="1:20" ht="15.6" x14ac:dyDescent="0.3">
      <c r="A21" s="460"/>
      <c r="B21" s="453" t="s">
        <v>237</v>
      </c>
      <c r="C21" s="64" t="s">
        <v>138</v>
      </c>
      <c r="D21" s="434"/>
      <c r="E21" s="437"/>
      <c r="F21" s="48"/>
      <c r="G21" s="48"/>
      <c r="H21" s="48"/>
      <c r="I21" s="48"/>
      <c r="J21" s="48"/>
      <c r="K21" s="48"/>
      <c r="L21" s="48"/>
      <c r="M21" s="48"/>
      <c r="N21" s="48"/>
      <c r="O21" s="7"/>
      <c r="P21" s="7"/>
      <c r="Q21" s="7"/>
      <c r="R21" s="7"/>
      <c r="S21" s="7"/>
      <c r="T21" s="7"/>
    </row>
    <row r="22" spans="1:20" ht="15.75" customHeight="1" x14ac:dyDescent="0.3">
      <c r="A22" s="460"/>
      <c r="B22" s="454"/>
      <c r="C22" s="65" t="s">
        <v>139</v>
      </c>
      <c r="D22" s="434"/>
      <c r="E22" s="437"/>
      <c r="F22" s="48"/>
      <c r="G22" s="48"/>
      <c r="H22" s="48"/>
      <c r="I22" s="48"/>
      <c r="J22" s="48"/>
      <c r="K22" s="48"/>
      <c r="L22" s="48"/>
      <c r="M22" s="48"/>
      <c r="N22" s="48"/>
      <c r="O22" s="7"/>
      <c r="P22" s="7"/>
      <c r="Q22" s="7"/>
      <c r="R22" s="7"/>
      <c r="S22" s="7"/>
      <c r="T22" s="7"/>
    </row>
    <row r="23" spans="1:20" ht="31.2" x14ac:dyDescent="0.3">
      <c r="A23" s="460"/>
      <c r="B23" s="455"/>
      <c r="C23" s="66" t="s">
        <v>140</v>
      </c>
      <c r="D23" s="434"/>
      <c r="E23" s="437"/>
      <c r="F23" s="48"/>
      <c r="G23" s="48"/>
      <c r="H23" s="48"/>
      <c r="I23" s="48"/>
      <c r="J23" s="48"/>
      <c r="K23" s="48"/>
      <c r="L23" s="48"/>
      <c r="M23" s="48"/>
      <c r="N23" s="48"/>
      <c r="O23" s="7"/>
      <c r="P23" s="7"/>
      <c r="Q23" s="7"/>
      <c r="R23" s="7"/>
      <c r="S23" s="7"/>
      <c r="T23" s="7"/>
    </row>
    <row r="24" spans="1:20" ht="31.2" x14ac:dyDescent="0.3">
      <c r="A24" s="460"/>
      <c r="B24" s="453" t="s">
        <v>39</v>
      </c>
      <c r="C24" s="52" t="s">
        <v>142</v>
      </c>
      <c r="D24" s="434"/>
      <c r="E24" s="437"/>
      <c r="F24" s="48"/>
      <c r="G24" s="48"/>
      <c r="H24" s="48"/>
      <c r="I24" s="48"/>
      <c r="J24" s="48"/>
      <c r="K24" s="48"/>
      <c r="L24" s="48"/>
      <c r="M24" s="48"/>
      <c r="N24" s="48"/>
      <c r="O24" s="7"/>
      <c r="P24" s="7"/>
      <c r="Q24" s="7"/>
      <c r="R24" s="7"/>
      <c r="S24" s="7"/>
      <c r="T24" s="7"/>
    </row>
    <row r="25" spans="1:20" ht="15.6" x14ac:dyDescent="0.3">
      <c r="A25" s="460"/>
      <c r="B25" s="454"/>
      <c r="C25" s="52" t="s">
        <v>143</v>
      </c>
      <c r="D25" s="434"/>
      <c r="E25" s="437"/>
      <c r="F25" s="48"/>
      <c r="G25" s="48"/>
      <c r="H25" s="48"/>
      <c r="I25" s="48"/>
      <c r="J25" s="48"/>
      <c r="K25" s="48"/>
      <c r="L25" s="48"/>
      <c r="M25" s="48"/>
      <c r="N25" s="48"/>
      <c r="O25" s="7"/>
      <c r="P25" s="7"/>
      <c r="Q25" s="7"/>
      <c r="R25" s="7"/>
      <c r="S25" s="7"/>
      <c r="T25" s="7"/>
    </row>
    <row r="26" spans="1:20" ht="15.6" x14ac:dyDescent="0.3">
      <c r="A26" s="460"/>
      <c r="B26" s="455"/>
      <c r="C26" s="52" t="s">
        <v>144</v>
      </c>
      <c r="D26" s="435"/>
      <c r="E26" s="438"/>
      <c r="F26" s="48"/>
      <c r="G26" s="48"/>
      <c r="H26" s="48"/>
      <c r="I26" s="48"/>
      <c r="J26" s="48"/>
      <c r="K26" s="48"/>
      <c r="L26" s="48"/>
      <c r="M26" s="48"/>
      <c r="N26" s="48"/>
      <c r="O26" s="7"/>
      <c r="P26" s="7"/>
      <c r="Q26" s="7"/>
      <c r="R26" s="7"/>
      <c r="S26" s="7"/>
      <c r="T26" s="7"/>
    </row>
    <row r="27" spans="1:20" ht="15.6" x14ac:dyDescent="0.3">
      <c r="A27" s="6"/>
      <c r="B27" s="456" t="s">
        <v>43</v>
      </c>
      <c r="C27" s="67" t="s">
        <v>238</v>
      </c>
      <c r="D27" s="55" t="s">
        <v>20</v>
      </c>
      <c r="E27" s="57">
        <v>0.1</v>
      </c>
      <c r="F27" s="48"/>
      <c r="G27" s="48"/>
      <c r="H27" s="48"/>
      <c r="I27" s="48"/>
      <c r="J27" s="48"/>
      <c r="K27" s="48"/>
      <c r="L27" s="48"/>
      <c r="M27" s="48"/>
      <c r="N27" s="48"/>
      <c r="O27" s="7"/>
      <c r="P27" s="7"/>
      <c r="Q27" s="7"/>
      <c r="R27" s="7"/>
      <c r="S27" s="7"/>
      <c r="T27" s="7"/>
    </row>
    <row r="28" spans="1:20" ht="15.6" x14ac:dyDescent="0.3">
      <c r="A28" s="6"/>
      <c r="B28" s="456"/>
      <c r="C28" s="67" t="s">
        <v>239</v>
      </c>
      <c r="D28" s="55" t="s">
        <v>20</v>
      </c>
      <c r="E28" s="57">
        <v>0.1</v>
      </c>
      <c r="F28" s="48"/>
      <c r="G28" s="48"/>
      <c r="H28" s="48"/>
      <c r="I28" s="48"/>
      <c r="J28" s="48"/>
      <c r="K28" s="48"/>
      <c r="L28" s="48"/>
      <c r="M28" s="48"/>
      <c r="N28" s="48"/>
      <c r="O28" s="7"/>
      <c r="P28" s="7"/>
      <c r="Q28" s="7"/>
      <c r="R28" s="7"/>
      <c r="S28" s="7"/>
      <c r="T28" s="7"/>
    </row>
    <row r="29" spans="1:20" ht="16.5" customHeight="1" x14ac:dyDescent="0.3">
      <c r="A29" s="6"/>
      <c r="B29" s="457" t="s">
        <v>46</v>
      </c>
      <c r="C29" s="52" t="s">
        <v>240</v>
      </c>
      <c r="D29" s="433" t="s">
        <v>33</v>
      </c>
      <c r="E29" s="436">
        <v>0.2</v>
      </c>
      <c r="F29" s="48"/>
      <c r="G29" s="48"/>
      <c r="H29" s="48"/>
      <c r="I29" s="48"/>
      <c r="J29" s="48"/>
      <c r="K29" s="48"/>
      <c r="L29" s="48"/>
      <c r="M29" s="48"/>
      <c r="N29" s="48"/>
      <c r="O29" s="7"/>
      <c r="P29" s="7"/>
      <c r="Q29" s="7"/>
      <c r="R29" s="7"/>
      <c r="S29" s="7"/>
      <c r="T29" s="7"/>
    </row>
    <row r="30" spans="1:20" ht="15.6" x14ac:dyDescent="0.3">
      <c r="A30" s="6"/>
      <c r="B30" s="458"/>
      <c r="C30" s="52" t="s">
        <v>241</v>
      </c>
      <c r="D30" s="434"/>
      <c r="E30" s="437"/>
      <c r="F30" s="48"/>
      <c r="G30" s="48"/>
      <c r="H30" s="48"/>
      <c r="I30" s="48"/>
      <c r="J30" s="48"/>
      <c r="K30" s="48"/>
      <c r="L30" s="48"/>
      <c r="M30" s="48"/>
      <c r="N30" s="48"/>
      <c r="O30" s="7"/>
      <c r="P30" s="7"/>
      <c r="Q30" s="7"/>
      <c r="R30" s="7"/>
      <c r="S30" s="7"/>
      <c r="T30" s="7"/>
    </row>
    <row r="31" spans="1:20" ht="15.6" x14ac:dyDescent="0.3">
      <c r="A31" s="6"/>
      <c r="B31" s="459"/>
      <c r="C31" s="52" t="s">
        <v>242</v>
      </c>
      <c r="D31" s="435"/>
      <c r="E31" s="438"/>
      <c r="F31" s="48"/>
      <c r="G31" s="48"/>
      <c r="H31" s="48"/>
      <c r="I31" s="48"/>
      <c r="J31" s="48"/>
      <c r="K31" s="48"/>
      <c r="L31" s="48"/>
      <c r="M31" s="48"/>
      <c r="N31" s="48"/>
      <c r="O31" s="7"/>
      <c r="P31" s="7"/>
      <c r="Q31" s="7"/>
      <c r="R31" s="7"/>
      <c r="S31" s="7"/>
      <c r="T31" s="7"/>
    </row>
    <row r="32" spans="1:20" ht="33.75" customHeight="1" x14ac:dyDescent="0.3">
      <c r="D32" s="47"/>
      <c r="E32" s="47"/>
    </row>
    <row r="33" spans="2:14" ht="33.75" customHeight="1" x14ac:dyDescent="0.3">
      <c r="C33" s="60" t="s">
        <v>50</v>
      </c>
      <c r="D33" s="61"/>
      <c r="E33" s="74">
        <v>0.3</v>
      </c>
      <c r="F33" s="101">
        <f>SUM(E34:E36)</f>
        <v>1</v>
      </c>
    </row>
    <row r="34" spans="2:14" ht="15.6" customHeight="1" x14ac:dyDescent="0.3">
      <c r="B34" s="461" t="s">
        <v>51</v>
      </c>
      <c r="C34" s="52" t="s">
        <v>243</v>
      </c>
      <c r="D34" s="55" t="s">
        <v>20</v>
      </c>
      <c r="E34" s="51">
        <v>0.35</v>
      </c>
    </row>
    <row r="35" spans="2:14" ht="31.2" x14ac:dyDescent="0.3">
      <c r="B35" s="462"/>
      <c r="C35" s="52" t="s">
        <v>244</v>
      </c>
      <c r="D35" s="55" t="s">
        <v>20</v>
      </c>
      <c r="E35" s="51">
        <v>0.35</v>
      </c>
    </row>
    <row r="36" spans="2:14" ht="15.6" customHeight="1" x14ac:dyDescent="0.3">
      <c r="B36" s="463"/>
      <c r="C36" s="52" t="s">
        <v>245</v>
      </c>
      <c r="D36" s="55" t="s">
        <v>20</v>
      </c>
      <c r="E36" s="51">
        <v>0.3</v>
      </c>
    </row>
    <row r="37" spans="2:14" ht="33.75" customHeight="1" x14ac:dyDescent="0.3">
      <c r="B37"/>
      <c r="F37" s="6"/>
    </row>
    <row r="38" spans="2:14" ht="33.75" customHeight="1" x14ac:dyDescent="0.3">
      <c r="C38" s="60" t="s">
        <v>54</v>
      </c>
      <c r="D38" s="61"/>
      <c r="E38" s="74">
        <v>0.3</v>
      </c>
      <c r="F38" s="119">
        <f>SUM(E40:E44)</f>
        <v>1</v>
      </c>
    </row>
    <row r="39" spans="2:14" ht="15.6" x14ac:dyDescent="0.3">
      <c r="B39" s="456" t="s">
        <v>51</v>
      </c>
      <c r="C39" s="52" t="s">
        <v>55</v>
      </c>
      <c r="D39" s="55" t="s">
        <v>20</v>
      </c>
      <c r="E39" s="27"/>
      <c r="F39" s="6"/>
    </row>
    <row r="40" spans="2:14" ht="31.2" x14ac:dyDescent="0.3">
      <c r="B40" s="456"/>
      <c r="C40" s="53" t="s">
        <v>52</v>
      </c>
      <c r="D40" s="96" t="s">
        <v>20</v>
      </c>
      <c r="E40" s="57">
        <v>0.3</v>
      </c>
      <c r="F40"/>
    </row>
    <row r="41" spans="2:14" s="6" customFormat="1" ht="15.6" x14ac:dyDescent="0.3">
      <c r="B41" s="456"/>
      <c r="C41" s="53" t="s">
        <v>246</v>
      </c>
      <c r="D41" s="123" t="s">
        <v>20</v>
      </c>
      <c r="E41" s="124">
        <v>0.2</v>
      </c>
      <c r="G41" s="47"/>
      <c r="H41" s="47"/>
      <c r="I41" s="47"/>
      <c r="J41" s="47"/>
      <c r="K41" s="47"/>
      <c r="L41" s="47"/>
      <c r="M41" s="47"/>
      <c r="N41" s="47"/>
    </row>
    <row r="42" spans="2:14" s="6" customFormat="1" ht="15.6" x14ac:dyDescent="0.3">
      <c r="B42" s="456"/>
      <c r="C42" s="53" t="s">
        <v>247</v>
      </c>
      <c r="D42" s="123" t="s">
        <v>20</v>
      </c>
      <c r="E42" s="124">
        <v>0.1</v>
      </c>
      <c r="G42" s="47"/>
      <c r="H42" s="47"/>
      <c r="I42" s="47"/>
      <c r="J42" s="47"/>
      <c r="K42" s="47"/>
      <c r="L42" s="47"/>
      <c r="M42" s="47"/>
      <c r="N42" s="47"/>
    </row>
    <row r="43" spans="2:14" ht="15.6" x14ac:dyDescent="0.3">
      <c r="B43" s="456"/>
      <c r="C43" s="52" t="s">
        <v>248</v>
      </c>
      <c r="D43" s="96" t="s">
        <v>20</v>
      </c>
      <c r="E43" s="57">
        <v>0.2</v>
      </c>
      <c r="F43" s="6"/>
    </row>
    <row r="44" spans="2:14" ht="15.6" x14ac:dyDescent="0.3">
      <c r="B44" s="456"/>
      <c r="C44" s="52" t="s">
        <v>249</v>
      </c>
      <c r="D44" s="96" t="s">
        <v>20</v>
      </c>
      <c r="E44" s="57">
        <v>0.2</v>
      </c>
      <c r="F44" s="6"/>
    </row>
    <row r="45" spans="2:14" ht="33.75" customHeight="1" x14ac:dyDescent="0.3">
      <c r="F45" s="119">
        <f>SUM(E47:E52)</f>
        <v>1.0000000000000002</v>
      </c>
    </row>
    <row r="46" spans="2:14" ht="21" x14ac:dyDescent="0.3">
      <c r="C46" s="60" t="s">
        <v>163</v>
      </c>
      <c r="D46" s="61"/>
      <c r="E46" s="74">
        <v>0.3</v>
      </c>
      <c r="F46" s="6"/>
    </row>
    <row r="47" spans="2:14" ht="15.6" x14ac:dyDescent="0.3">
      <c r="B47" s="456" t="s">
        <v>51</v>
      </c>
      <c r="C47" s="52" t="s">
        <v>165</v>
      </c>
      <c r="D47" s="96" t="s">
        <v>20</v>
      </c>
      <c r="E47" s="57">
        <v>0.25</v>
      </c>
      <c r="F47" s="6"/>
    </row>
    <row r="48" spans="2:14" s="6" customFormat="1" ht="15.6" x14ac:dyDescent="0.3">
      <c r="B48" s="456"/>
      <c r="C48" s="53" t="s">
        <v>250</v>
      </c>
      <c r="D48" s="123" t="s">
        <v>20</v>
      </c>
      <c r="E48" s="124">
        <v>0.2</v>
      </c>
      <c r="G48" s="47"/>
      <c r="H48" s="47"/>
      <c r="I48" s="47"/>
      <c r="J48" s="47"/>
      <c r="K48" s="47"/>
      <c r="L48" s="47"/>
      <c r="M48" s="47"/>
      <c r="N48" s="47"/>
    </row>
    <row r="49" spans="2:14" s="6" customFormat="1" ht="15.6" x14ac:dyDescent="0.3">
      <c r="B49" s="456"/>
      <c r="C49" s="53" t="s">
        <v>251</v>
      </c>
      <c r="D49" s="123" t="s">
        <v>20</v>
      </c>
      <c r="E49" s="124">
        <v>0.1</v>
      </c>
      <c r="G49" s="47"/>
      <c r="H49" s="47"/>
      <c r="I49" s="47"/>
      <c r="J49" s="47"/>
      <c r="K49" s="47"/>
      <c r="L49" s="47"/>
      <c r="M49" s="47"/>
      <c r="N49" s="47"/>
    </row>
    <row r="50" spans="2:14" ht="15.6" x14ac:dyDescent="0.3">
      <c r="B50" s="456"/>
      <c r="C50" s="52" t="s">
        <v>252</v>
      </c>
      <c r="D50" s="96" t="s">
        <v>20</v>
      </c>
      <c r="E50" s="57">
        <v>0.15</v>
      </c>
      <c r="F50" s="6"/>
    </row>
    <row r="51" spans="2:14" ht="31.2" x14ac:dyDescent="0.3">
      <c r="B51" s="456"/>
      <c r="C51" s="73" t="s">
        <v>253</v>
      </c>
      <c r="D51" s="96" t="s">
        <v>20</v>
      </c>
      <c r="E51" s="57">
        <v>0.2</v>
      </c>
      <c r="F51" s="6"/>
    </row>
    <row r="52" spans="2:14" s="6" customFormat="1" ht="15.6" x14ac:dyDescent="0.3">
      <c r="B52" s="456"/>
      <c r="C52" s="53" t="s">
        <v>249</v>
      </c>
      <c r="D52" s="123" t="s">
        <v>20</v>
      </c>
      <c r="E52" s="124">
        <v>0.1</v>
      </c>
      <c r="G52" s="47"/>
      <c r="H52" s="47"/>
      <c r="I52" s="47"/>
      <c r="J52" s="47"/>
      <c r="K52" s="47"/>
      <c r="L52" s="47"/>
      <c r="M52" s="47"/>
      <c r="N52" s="47"/>
    </row>
    <row r="53" spans="2:14" ht="33.75" customHeight="1" x14ac:dyDescent="0.3">
      <c r="F53" s="6"/>
    </row>
    <row r="54" spans="2:14" ht="33.75" customHeight="1" x14ac:dyDescent="0.3">
      <c r="C54" s="60" t="s">
        <v>58</v>
      </c>
      <c r="D54" s="61"/>
      <c r="F54" s="6"/>
    </row>
    <row r="55" spans="2:14" ht="33.75" customHeight="1" x14ac:dyDescent="0.3">
      <c r="C55" s="52" t="s">
        <v>254</v>
      </c>
      <c r="D55" s="122">
        <v>10</v>
      </c>
    </row>
  </sheetData>
  <mergeCells count="16">
    <mergeCell ref="B47:B52"/>
    <mergeCell ref="A12:A26"/>
    <mergeCell ref="B27:B28"/>
    <mergeCell ref="B34:B36"/>
    <mergeCell ref="B39:B44"/>
    <mergeCell ref="B8:B9"/>
    <mergeCell ref="D12:D26"/>
    <mergeCell ref="E12:E26"/>
    <mergeCell ref="D29:D31"/>
    <mergeCell ref="E29:E31"/>
    <mergeCell ref="B18:B20"/>
    <mergeCell ref="B12:B14"/>
    <mergeCell ref="B29:B31"/>
    <mergeCell ref="B16:B17"/>
    <mergeCell ref="B21:B23"/>
    <mergeCell ref="B24:B26"/>
  </mergeCells>
  <dataValidations count="2">
    <dataValidation type="list" allowBlank="1" showInputMessage="1" showErrorMessage="1" sqref="D55" xr:uid="{D4E9B2C0-53B2-4B0E-BCB8-F965CA1CD91E}">
      <formula1>"0, 1, 2, 3, 4, 5, 6, 7, 8, 9, 10"</formula1>
    </dataValidation>
    <dataValidation type="list" allowBlank="1" showInputMessage="1" showErrorMessage="1" sqref="D47:D52 D40:D44" xr:uid="{00000000-0002-0000-0800-000001000000}"/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mapping!$A$2:$A$3</xm:f>
          </x14:formula1>
          <xm:sqref>D8:D9 D27:D28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36"/>
  <sheetViews>
    <sheetView showGridLines="0" topLeftCell="A8" zoomScale="85" zoomScaleNormal="85" workbookViewId="0">
      <selection activeCell="E28" sqref="E28"/>
    </sheetView>
  </sheetViews>
  <sheetFormatPr defaultColWidth="9" defaultRowHeight="33.75" customHeight="1" x14ac:dyDescent="0.25"/>
  <cols>
    <col min="1" max="1" width="27.5546875" style="6" bestFit="1" customWidth="1"/>
    <col min="2" max="2" width="110" style="6" bestFit="1" customWidth="1"/>
    <col min="3" max="3" width="13.44140625" style="6" bestFit="1" customWidth="1"/>
    <col min="4" max="4" width="27.5546875" style="16" bestFit="1" customWidth="1"/>
    <col min="5" max="5" width="36.44140625" style="6" bestFit="1" customWidth="1"/>
    <col min="6" max="6" width="16.44140625" style="6" customWidth="1"/>
    <col min="7" max="7" width="10.88671875" style="6" customWidth="1"/>
    <col min="8" max="8" width="12.5546875" style="6" customWidth="1"/>
    <col min="9" max="9" width="12.88671875" style="6" customWidth="1"/>
    <col min="10" max="10" width="9" style="6"/>
    <col min="11" max="11" width="11.5546875" style="6" customWidth="1"/>
    <col min="12" max="12" width="10.44140625" style="6" customWidth="1"/>
    <col min="13" max="13" width="9" style="6"/>
    <col min="14" max="14" width="13.44140625" style="6" customWidth="1"/>
    <col min="15" max="15" width="10.88671875" style="6" customWidth="1"/>
    <col min="16" max="16" width="12.109375" style="6" customWidth="1"/>
    <col min="17" max="16384" width="9" style="6"/>
  </cols>
  <sheetData>
    <row r="1" spans="1:26" ht="33.75" customHeight="1" x14ac:dyDescent="0.25">
      <c r="B1" s="422" t="s">
        <v>255</v>
      </c>
      <c r="C1" s="422"/>
      <c r="D1" s="13" t="s">
        <v>65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3.75" customHeight="1" x14ac:dyDescent="0.25">
      <c r="B2" s="464" t="s">
        <v>170</v>
      </c>
      <c r="C2" s="465"/>
      <c r="D2" s="466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33.75" customHeight="1" x14ac:dyDescent="0.25">
      <c r="B3" s="464" t="s">
        <v>171</v>
      </c>
      <c r="C3" s="465"/>
      <c r="D3" s="466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33.75" customHeight="1" x14ac:dyDescent="0.25">
      <c r="B4" s="464" t="s">
        <v>172</v>
      </c>
      <c r="C4" s="465"/>
      <c r="D4" s="466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33.75" customHeight="1" x14ac:dyDescent="0.25">
      <c r="B5" s="464" t="s">
        <v>173</v>
      </c>
      <c r="C5" s="465"/>
      <c r="D5" s="466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33.75" customHeight="1" x14ac:dyDescent="0.25">
      <c r="B6" s="5"/>
      <c r="C6" s="5"/>
      <c r="D6" s="15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33.75" customHeight="1" x14ac:dyDescent="0.25">
      <c r="B7" s="423" t="s">
        <v>174</v>
      </c>
      <c r="C7" s="423"/>
      <c r="D7" s="13">
        <v>0.2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33.75" customHeight="1" x14ac:dyDescent="0.25">
      <c r="A8" s="8"/>
      <c r="B8" s="3" t="s">
        <v>176</v>
      </c>
      <c r="C8" s="3" t="s">
        <v>73</v>
      </c>
      <c r="D8" s="10">
        <v>0.05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33.75" customHeight="1" x14ac:dyDescent="0.25">
      <c r="A9" s="8"/>
      <c r="B9" s="3" t="s">
        <v>256</v>
      </c>
      <c r="C9" s="3" t="s">
        <v>73</v>
      </c>
      <c r="D9" s="10">
        <v>0.05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33.75" customHeight="1" x14ac:dyDescent="0.25">
      <c r="A10" s="8"/>
      <c r="B10" s="3" t="s">
        <v>177</v>
      </c>
      <c r="C10" s="3" t="s">
        <v>73</v>
      </c>
      <c r="D10" s="10">
        <v>0.1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33.75" customHeight="1" x14ac:dyDescent="0.25">
      <c r="A11" s="8"/>
      <c r="B11" s="5"/>
      <c r="C11" s="5"/>
      <c r="D11" s="15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33.75" customHeight="1" x14ac:dyDescent="0.25">
      <c r="A12" s="8"/>
      <c r="B12" s="423" t="s">
        <v>77</v>
      </c>
      <c r="C12" s="423"/>
      <c r="D12" s="13">
        <v>0.6</v>
      </c>
      <c r="E12" s="8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33.75" customHeight="1" x14ac:dyDescent="0.25">
      <c r="A13" s="8"/>
      <c r="B13" s="3" t="s">
        <v>178</v>
      </c>
      <c r="C13" s="3" t="s">
        <v>73</v>
      </c>
      <c r="D13" s="10">
        <v>0.04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33.75" customHeight="1" x14ac:dyDescent="0.25">
      <c r="B14" s="11" t="s">
        <v>179</v>
      </c>
      <c r="C14" s="3" t="s">
        <v>73</v>
      </c>
      <c r="D14" s="10">
        <v>0.05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33.75" customHeight="1" x14ac:dyDescent="0.25">
      <c r="B15" s="12" t="s">
        <v>180</v>
      </c>
      <c r="C15" s="3" t="s">
        <v>73</v>
      </c>
      <c r="D15" s="10">
        <v>0.05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33.75" customHeight="1" x14ac:dyDescent="0.25">
      <c r="B16" s="3" t="s">
        <v>181</v>
      </c>
      <c r="C16" s="3" t="s">
        <v>73</v>
      </c>
      <c r="D16" s="10">
        <v>0.05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33.75" customHeight="1" x14ac:dyDescent="0.25">
      <c r="B17" s="3" t="s">
        <v>182</v>
      </c>
      <c r="C17" s="3" t="s">
        <v>73</v>
      </c>
      <c r="D17" s="10">
        <v>0.05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33.75" customHeight="1" x14ac:dyDescent="0.25">
      <c r="B18" s="3" t="s">
        <v>183</v>
      </c>
      <c r="C18" s="3" t="s">
        <v>73</v>
      </c>
      <c r="D18" s="10">
        <v>0.05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33.75" customHeight="1" x14ac:dyDescent="0.25">
      <c r="B19" s="3" t="s">
        <v>184</v>
      </c>
      <c r="C19" s="3" t="s">
        <v>73</v>
      </c>
      <c r="D19" s="10">
        <v>0.05</v>
      </c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33.75" customHeight="1" x14ac:dyDescent="0.25">
      <c r="B20" s="3" t="s">
        <v>185</v>
      </c>
      <c r="C20" s="3" t="s">
        <v>73</v>
      </c>
      <c r="D20" s="10">
        <v>0.04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33.75" customHeight="1" x14ac:dyDescent="0.25">
      <c r="B21" s="3" t="s">
        <v>186</v>
      </c>
      <c r="C21" s="3" t="s">
        <v>73</v>
      </c>
      <c r="D21" s="10">
        <v>0.04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33.75" customHeight="1" x14ac:dyDescent="0.25">
      <c r="B22" s="3" t="s">
        <v>187</v>
      </c>
      <c r="C22" s="3" t="s">
        <v>73</v>
      </c>
      <c r="D22" s="10">
        <v>0.04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33.75" customHeight="1" x14ac:dyDescent="0.25">
      <c r="B23" s="3" t="s">
        <v>188</v>
      </c>
      <c r="C23" s="3" t="s">
        <v>73</v>
      </c>
      <c r="D23" s="10">
        <v>0.04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33.75" customHeight="1" x14ac:dyDescent="0.25">
      <c r="B24" s="3" t="s">
        <v>189</v>
      </c>
      <c r="C24" s="3" t="s">
        <v>73</v>
      </c>
      <c r="D24" s="10">
        <v>0.05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33.75" customHeight="1" x14ac:dyDescent="0.25">
      <c r="B25" s="3" t="s">
        <v>190</v>
      </c>
      <c r="C25" s="3" t="s">
        <v>73</v>
      </c>
      <c r="D25" s="10">
        <v>0.05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33.75" customHeight="1" x14ac:dyDescent="0.25">
      <c r="A26" s="7"/>
      <c r="B26" s="7"/>
      <c r="C26" s="7"/>
      <c r="D26" s="9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33.75" customHeight="1" x14ac:dyDescent="0.25">
      <c r="A27" s="7"/>
      <c r="B27" s="424" t="s">
        <v>192</v>
      </c>
      <c r="C27" s="425"/>
      <c r="D27" s="13">
        <v>0.2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33.75" customHeight="1" x14ac:dyDescent="0.25">
      <c r="A28" s="7"/>
      <c r="B28" s="3" t="s">
        <v>193</v>
      </c>
      <c r="C28" s="3" t="s">
        <v>73</v>
      </c>
      <c r="D28" s="10">
        <v>0.03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33.75" customHeight="1" x14ac:dyDescent="0.25">
      <c r="A29" s="7"/>
      <c r="B29" s="3" t="s">
        <v>257</v>
      </c>
      <c r="C29" s="3" t="s">
        <v>73</v>
      </c>
      <c r="D29" s="10">
        <v>0.03</v>
      </c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33.75" customHeight="1" x14ac:dyDescent="0.25">
      <c r="A30" s="7"/>
      <c r="B30" s="3" t="s">
        <v>258</v>
      </c>
      <c r="C30" s="3" t="s">
        <v>73</v>
      </c>
      <c r="D30" s="10">
        <v>0.03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33.75" customHeight="1" x14ac:dyDescent="0.25">
      <c r="A31" s="7"/>
      <c r="B31" s="3" t="s">
        <v>196</v>
      </c>
      <c r="C31" s="3" t="s">
        <v>73</v>
      </c>
      <c r="D31" s="10">
        <v>0.03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33.75" customHeight="1" x14ac:dyDescent="0.25">
      <c r="A32" s="7"/>
      <c r="B32" s="3" t="s">
        <v>108</v>
      </c>
      <c r="C32" s="3" t="s">
        <v>73</v>
      </c>
      <c r="D32" s="10">
        <v>0.03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33.75" customHeight="1" x14ac:dyDescent="0.25">
      <c r="A33" s="7"/>
      <c r="B33" s="3" t="s">
        <v>197</v>
      </c>
      <c r="C33" s="3" t="s">
        <v>73</v>
      </c>
      <c r="D33" s="10">
        <v>0.03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33.75" customHeight="1" x14ac:dyDescent="0.25">
      <c r="A34" s="7"/>
      <c r="B34" s="3" t="s">
        <v>102</v>
      </c>
      <c r="C34" s="3" t="s">
        <v>73</v>
      </c>
      <c r="D34" s="10">
        <v>0.02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33.75" customHeight="1" x14ac:dyDescent="0.25">
      <c r="B35" s="7"/>
      <c r="C35" s="7"/>
      <c r="D35" s="9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33.75" customHeight="1" x14ac:dyDescent="0.25">
      <c r="B36" s="3" t="s">
        <v>199</v>
      </c>
      <c r="C36" s="29">
        <v>10</v>
      </c>
      <c r="D36" s="30" t="s">
        <v>200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</sheetData>
  <mergeCells count="8">
    <mergeCell ref="B1:C1"/>
    <mergeCell ref="B7:C7"/>
    <mergeCell ref="B12:C12"/>
    <mergeCell ref="B27:C27"/>
    <mergeCell ref="B2:D2"/>
    <mergeCell ref="B3:D3"/>
    <mergeCell ref="B4:D4"/>
    <mergeCell ref="B5:D5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2"/>
  <sheetViews>
    <sheetView workbookViewId="0">
      <selection activeCell="A30" sqref="A30"/>
    </sheetView>
  </sheetViews>
  <sheetFormatPr defaultRowHeight="14.4" x14ac:dyDescent="0.3"/>
  <cols>
    <col min="1" max="1" width="36.44140625" bestFit="1" customWidth="1"/>
    <col min="4" max="4" width="38.5546875" customWidth="1"/>
  </cols>
  <sheetData>
    <row r="1" spans="1:5" ht="15" thickBot="1" x14ac:dyDescent="0.35"/>
    <row r="2" spans="1:5" x14ac:dyDescent="0.3">
      <c r="A2" t="s">
        <v>73</v>
      </c>
      <c r="D2" s="469" t="s">
        <v>259</v>
      </c>
      <c r="E2" s="470"/>
    </row>
    <row r="3" spans="1:5" ht="15.6" x14ac:dyDescent="0.3">
      <c r="A3" t="s">
        <v>260</v>
      </c>
      <c r="D3" s="471"/>
      <c r="E3" s="472"/>
    </row>
    <row r="4" spans="1:5" x14ac:dyDescent="0.3">
      <c r="D4" s="467" t="s">
        <v>261</v>
      </c>
      <c r="E4" s="468"/>
    </row>
    <row r="5" spans="1:5" ht="15.6" x14ac:dyDescent="0.3">
      <c r="A5" t="s">
        <v>262</v>
      </c>
      <c r="D5" s="471"/>
      <c r="E5" s="472"/>
    </row>
    <row r="6" spans="1:5" x14ac:dyDescent="0.3">
      <c r="A6" t="s">
        <v>263</v>
      </c>
      <c r="D6" s="467" t="s">
        <v>264</v>
      </c>
      <c r="E6" s="468"/>
    </row>
    <row r="7" spans="1:5" ht="15.6" x14ac:dyDescent="0.3">
      <c r="A7" t="s">
        <v>265</v>
      </c>
      <c r="D7" s="471"/>
      <c r="E7" s="472"/>
    </row>
    <row r="8" spans="1:5" x14ac:dyDescent="0.3">
      <c r="A8" t="s">
        <v>266</v>
      </c>
      <c r="D8" s="467" t="s">
        <v>267</v>
      </c>
      <c r="E8" s="468"/>
    </row>
    <row r="10" spans="1:5" x14ac:dyDescent="0.3">
      <c r="A10" t="s">
        <v>268</v>
      </c>
    </row>
    <row r="11" spans="1:5" x14ac:dyDescent="0.3">
      <c r="A11" t="s">
        <v>269</v>
      </c>
    </row>
    <row r="12" spans="1:5" x14ac:dyDescent="0.3">
      <c r="A12" t="s">
        <v>270</v>
      </c>
    </row>
  </sheetData>
  <mergeCells count="7">
    <mergeCell ref="D8:E8"/>
    <mergeCell ref="D2:E2"/>
    <mergeCell ref="D3:E3"/>
    <mergeCell ref="D4:E4"/>
    <mergeCell ref="D5:E5"/>
    <mergeCell ref="D6:E6"/>
    <mergeCell ref="D7:E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14F6F2B4D393848A1420D7B1E05BB16" ma:contentTypeVersion="11" ma:contentTypeDescription="Create a new document." ma:contentTypeScope="" ma:versionID="f3d418cde11f3c82a25b2cbc367e9478">
  <xsd:schema xmlns:xsd="http://www.w3.org/2001/XMLSchema" xmlns:xs="http://www.w3.org/2001/XMLSchema" xmlns:p="http://schemas.microsoft.com/office/2006/metadata/properties" xmlns:ns3="dc0c4b39-1792-465f-a611-999c8ead2782" xmlns:ns4="4a6a78e1-e0f9-4093-a976-46b1cb0cbc77" targetNamespace="http://schemas.microsoft.com/office/2006/metadata/properties" ma:root="true" ma:fieldsID="31eba80b668a8d81d0937403e9ed27c6" ns3:_="" ns4:_="">
    <xsd:import namespace="dc0c4b39-1792-465f-a611-999c8ead2782"/>
    <xsd:import namespace="4a6a78e1-e0f9-4093-a976-46b1cb0cbc7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0c4b39-1792-465f-a611-999c8ead278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6a78e1-e0f9-4093-a976-46b1cb0cbc77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B959D93-51A7-485B-AF62-972A09A738A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4D3B57F-F2DD-43B9-AF20-B03F4D7EBF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c0c4b39-1792-465f-a611-999c8ead2782"/>
    <ds:schemaRef ds:uri="4a6a78e1-e0f9-4093-a976-46b1cb0cbc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F9646-C9A2-466A-8D0B-7F86F874F9AA}">
  <ds:schemaRefs>
    <ds:schemaRef ds:uri="http://purl.org/dc/terms/"/>
    <ds:schemaRef ds:uri="dc0c4b39-1792-465f-a611-999c8ead2782"/>
    <ds:schemaRef ds:uri="http://schemas.microsoft.com/office/2006/metadata/properties"/>
    <ds:schemaRef ds:uri="http://www.w3.org/XML/1998/namespace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4a6a78e1-e0f9-4093-a976-46b1cb0cbc77"/>
    <ds:schemaRef ds:uri="http://schemas.microsoft.com/office/2006/documentManagement/types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8b86a65e-3c3a-4406-8ac3-19a6b5cc52bc}" enabled="0" method="" siteId="{8b86a65e-3c3a-4406-8ac3-19a6b5cc52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MS սցենարներ</vt:lpstr>
      <vt:lpstr>Grading Weights</vt:lpstr>
      <vt:lpstr>PMI'25 D'base</vt:lpstr>
      <vt:lpstr>Task</vt:lpstr>
      <vt:lpstr>BR1</vt:lpstr>
      <vt:lpstr>BR2</vt:lpstr>
      <vt:lpstr>BR3</vt:lpstr>
      <vt:lpstr>BR4</vt:lpstr>
      <vt:lpstr>YAP-BR 5</vt:lpstr>
      <vt:lpstr>LAS_Brand Retail(1)</vt:lpstr>
      <vt:lpstr>LAS_Brand Retail (2)</vt:lpstr>
      <vt:lpstr>LAS _GT with purchase</vt:lpstr>
      <vt:lpstr>LAU scenario_old device user</vt:lpstr>
      <vt:lpstr>LAS_Brand Retail (3)</vt:lpstr>
      <vt:lpstr>LAS_Brand Retail (4)</vt:lpstr>
      <vt:lpstr>YAP-Brand Retail (5)</vt:lpstr>
      <vt:lpstr>GT&amp; Purchase, CO</vt:lpstr>
      <vt:lpstr>GT,CO, Trade-in,Winback</vt:lpstr>
      <vt:lpstr>1. SE in BR (ARM)</vt:lpstr>
      <vt:lpstr>GT, Coach, Call</vt:lpstr>
      <vt:lpstr>5. ME_lending meeting_long</vt:lpstr>
      <vt:lpstr>Lending, Coach, Call</vt:lpstr>
      <vt:lpstr>Lending, ME, Delivery</vt:lpstr>
      <vt:lpstr>VGT, SA, MC</vt:lpstr>
      <vt:lpstr>7. ME_order meeting_1</vt:lpstr>
      <vt:lpstr>mapping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2025-11-05T04:54:20Z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0x010100114F6F2B4D393848A1420D7B1E05BB16</vt:lpwstr>
  </property>
</Properties>
</file>